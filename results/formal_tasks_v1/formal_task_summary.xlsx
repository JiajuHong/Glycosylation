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8acffeb8b448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汇总" sheetId="1" r:id="R151c98473ed34c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##"/>
    <x:numFmt numFmtId="202" formatCode="0.000"/>
    <x:numFmt numFmtId="203" formatCode="#,##0"/>
  </x:numFmts>
  <x:fonts count="12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17365D"/>
      <x:name val="Carlito"/>
    </x:font>
    <x:font>
      <x:b/>
      <x:sz val="14"/>
      <x:color rgb="FF17365D"/>
      <x:name val="Carlito"/>
    </x:font>
    <x:font>
      <x:i/>
      <x:sz val="11"/>
      <x:color rgb="FF666666"/>
      <x:name val="Carlito"/>
    </x:font>
    <x:font>
      <x:i/>
      <x:sz val="10"/>
      <x:color rgb="FF244062"/>
      <x:name val="Carlito"/>
    </x:font>
    <x:font>
      <x:b/>
      <x:sz val="13"/>
      <x:color rgb="FF17365D"/>
      <x:name val="Carlito"/>
    </x:font>
    <x:font>
      <x:b/>
      <x:sz val="11"/>
      <x:color rgb="FFFFFFFF"/>
      <x:name val="Carlito"/>
    </x:font>
    <x:font>
      <x:sz val="9"/>
      <x:color rgb="FF263238"/>
      <x:name val="Carlito"/>
    </x:font>
    <x:font>
      <x:i/>
      <x:sz val="9"/>
      <x:color rgb="FF607D8B"/>
      <x:name val="Carlito"/>
    </x:font>
    <x:font>
      <x:b/>
      <x:sz val="9"/>
      <x:color rgb="FF44546A"/>
      <x:name val="Carlito"/>
    </x:font>
  </x:fonts>
  <x:fills count="2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0F6"/>
      </x:patternFill>
    </x:fill>
    <x:fill>
      <x:patternFill patternType="solid">
        <x:fgColor rgb="FFFFFFFF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0F6B83"/>
      </x:patternFill>
    </x:fill>
    <x:fill>
      <x:patternFill patternType="solid">
        <x:fgColor rgb="FFF3F6F8"/>
      </x:patternFill>
    </x:fill>
    <x:fill>
      <x:patternFill patternType="solid">
        <x:fgColor rgb="FFD9F2E3"/>
      </x:patternFill>
    </x:fill>
    <x:fill>
      <x:patternFill patternType="solid">
        <x:fgColor rgb="FFFFF2CC"/>
      </x:patternFill>
    </x:fill>
    <x:fill>
      <x:patternFill patternType="solid">
        <x:fgColor rgb="FFF4CC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0F6B83"/>
      </x:patternFill>
    </x:fill>
    <x:fill>
      <x:patternFill patternType="solid">
        <x:fgColor rgb="FFF3F6F8"/>
      </x:patternFill>
    </x:fill>
    <x:fill>
      <x:patternFill patternType="solid">
        <x:fgColor rgb="FFD9F2E3"/>
      </x:patternFill>
    </x:fill>
    <x:fill>
      <x:patternFill patternType="solid">
        <x:fgColor rgb="FFFFF2CC"/>
      </x:patternFill>
    </x:fill>
    <x:fill>
      <x:patternFill patternType="solid">
        <x:fgColor rgb="FFF4CCCC"/>
      </x:patternFill>
    </x:fill>
    <x:fill>
      <x:patternFill patternType="solid">
        <x:fgColor rgb="FFFCE4D6"/>
      </x:patternFill>
    </x:fill>
  </x:fills>
  <x:borders count="1">
    <x:border/>
  </x:borders>
  <x:cellStyleXfs count="1">
    <x:xf numFmtId="0" fontId="0" fillId="0" borderId="0"/>
  </x:cellStyleXfs>
  <x:cellXfs count="8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200" fontId="4" fillId="5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left"/>
    </x:xf>
    <x:xf numFmtId="0" fontId="6" fillId="7" borderId="0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vertical="center"/>
    </x:xf>
    <x:xf numFmtId="0" fontId="7" fillId="8" borderId="0" xfId="0" applyNumberFormat="1" applyFont="1" applyFill="1" applyBorder="1" applyAlignment="1">
      <x:alignment vertical="center"/>
    </x:xf>
    <x:xf numFmtId="0" fontId="7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wrapText="1"/>
    </x:xf>
    <x:xf numFmtId="0" fontId="8" fillId="9" borderId="0" xfId="0" applyNumberFormat="1" applyFont="1" applyFill="1" applyBorder="1" applyAlignment="1">
      <x:alignment horizontal="center" wrapText="1"/>
    </x:xf>
    <x:xf numFmtId="0" fontId="8" fillId="9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center"/>
    </x:xf>
    <x:xf numFmtId="203" fontId="9" fillId="0" borderId="0" xfId="0" applyNumberFormat="1" applyFont="1" applyFill="1" applyBorder="1" applyAlignment="1">
      <x:alignment vertical="center"/>
    </x:xf>
    <x:xf numFmtId="201" fontId="9" fillId="0" borderId="0" xfId="0" applyNumberFormat="1" applyFont="1" applyFill="1" applyBorder="1" applyAlignment="1">
      <x:alignment vertical="center"/>
    </x:xf>
    <x:xf numFmtId="202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10" fillId="10" borderId="0" xfId="0" applyNumberFormat="1" applyFont="1" applyFill="1" applyBorder="1"/>
    <x:xf numFmtId="0" fontId="10" fillId="10" borderId="0" xfId="0" applyNumberFormat="1" applyFont="1" applyFill="1" applyBorder="1" applyAlignment="1">
      <x:alignment vertical="center"/>
    </x:xf>
    <x:xf numFmtId="0" fontId="9" fillId="11" borderId="0" xfId="0" applyNumberFormat="1" applyFont="1" applyFill="1" applyBorder="1" applyAlignment="1">
      <x:alignment vertical="center"/>
    </x:xf>
    <x:xf numFmtId="0" fontId="11" fillId="11" borderId="0" xfId="0" applyNumberFormat="1" applyFont="1" applyFill="1" applyBorder="1" applyAlignment="1">
      <x:alignment vertical="center"/>
    </x:xf>
    <x:xf numFmtId="0" fontId="9" fillId="12" borderId="0" xfId="0" applyNumberFormat="1" applyFont="1" applyFill="1" applyBorder="1" applyAlignment="1">
      <x:alignment vertical="center"/>
    </x:xf>
    <x:xf numFmtId="0" fontId="11" fillId="12" borderId="0" xfId="0" applyNumberFormat="1" applyFont="1" applyFill="1" applyBorder="1" applyAlignment="1">
      <x:alignment vertical="center"/>
    </x:xf>
    <x:xf numFmtId="0" fontId="9" fillId="13" borderId="0" xfId="0" applyNumberFormat="1" applyFont="1" applyFill="1" applyBorder="1" applyAlignment="1">
      <x:alignment vertical="center"/>
    </x:xf>
    <x:xf numFmtId="0" fontId="11" fillId="13" borderId="0" xfId="0" applyNumberFormat="1" applyFont="1" applyFill="1" applyBorder="1" applyAlignment="1">
      <x:alignment vertical="center"/>
    </x:xf>
    <x:xf numFmtId="0" fontId="9" fillId="14" borderId="0" xfId="0" applyNumberFormat="1" applyFont="1" applyFill="1" applyBorder="1" applyAlignment="1">
      <x:alignment vertical="center"/>
    </x:xf>
    <x:xf numFmtId="0" fontId="11" fillId="14" borderId="0" xfId="0" applyNumberFormat="1" applyFont="1" applyFill="1" applyBorder="1" applyAlignment="1">
      <x:alignment vertical="center"/>
    </x:xf>
    <x:xf numFmtId="0" fontId="0" fillId="15" borderId="0" xfId="0" applyNumberFormat="1" applyFont="1" applyFill="1" applyBorder="1"/>
    <x:xf numFmtId="0" fontId="1" fillId="15" borderId="0" xfId="0" applyNumberFormat="1" applyFont="1" applyFill="1" applyBorder="1"/>
    <x:xf numFmtId="0" fontId="1" fillId="15" borderId="0" xfId="0" applyNumberFormat="1" applyFont="1" applyFill="1" applyBorder="1" applyAlignment="1">
      <x:alignment horizontal="center"/>
    </x:xf>
    <x:xf numFmtId="0" fontId="1" fillId="15" borderId="0" xfId="0" applyNumberFormat="1" applyFont="1" applyFill="1" applyBorder="1" applyAlignment="1">
      <x:alignment horizontal="center" vertical="center"/>
    </x:xf>
    <x:xf numFmtId="0" fontId="0" fillId="16" borderId="0" xfId="0" applyNumberFormat="1" applyFont="1" applyFill="1" applyBorder="1"/>
    <x:xf numFmtId="0" fontId="6" fillId="16" borderId="0" xfId="0" applyNumberFormat="1" applyFont="1" applyFill="1" applyBorder="1"/>
    <x:xf numFmtId="0" fontId="6" fillId="16" borderId="0" xfId="0" applyNumberFormat="1" applyFont="1" applyFill="1" applyBorder="1" applyAlignment="1">
      <x:alignment horizontal="left"/>
    </x:xf>
    <x:xf numFmtId="0" fontId="6" fillId="16" borderId="0" xfId="0" applyNumberFormat="1" applyFont="1" applyFill="1" applyBorder="1" applyAlignment="1">
      <x:alignment horizontal="left" vertical="center"/>
    </x:xf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3" fillId="17" borderId="0" xfId="0" applyNumberFormat="1" applyFont="1" applyFill="1" applyBorder="1" applyAlignment="1">
      <x:alignment vertical="center"/>
    </x:xf>
    <x:xf numFmtId="0" fontId="7" fillId="17" borderId="0" xfId="0" applyNumberFormat="1" applyFont="1" applyFill="1" applyBorder="1" applyAlignment="1">
      <x:alignment vertical="center"/>
    </x:xf>
    <x:xf numFmtId="0" fontId="7" fillId="17" borderId="0" xfId="0" applyNumberFormat="1" applyFont="1" applyFill="1" applyBorder="1" applyAlignment="1">
      <x:alignment horizontal="center" vertical="center"/>
    </x:xf>
    <x:xf numFmtId="0" fontId="0" fillId="18" borderId="0" xfId="0" applyNumberFormat="1" applyFont="1" applyFill="1" applyBorder="1"/>
    <x:xf numFmtId="0" fontId="8" fillId="18" borderId="0" xfId="0" applyNumberFormat="1" applyFont="1" applyFill="1" applyBorder="1"/>
    <x:xf numFmtId="0" fontId="8" fillId="18" borderId="0" xfId="0" applyNumberFormat="1" applyFont="1" applyFill="1" applyBorder="1" applyAlignment="1">
      <x:alignment wrapText="1"/>
    </x:xf>
    <x:xf numFmtId="0" fontId="8" fillId="18" borderId="0" xfId="0" applyNumberFormat="1" applyFont="1" applyFill="1" applyBorder="1" applyAlignment="1">
      <x:alignment horizontal="center" wrapText="1"/>
    </x:xf>
    <x:xf numFmtId="0" fontId="8" fillId="18" borderId="0" xfId="0" applyNumberFormat="1" applyFont="1" applyFill="1" applyBorder="1" applyAlignment="1">
      <x:alignment horizontal="center" vertical="center" wrapText="1"/>
    </x:xf>
    <x:xf numFmtId="0" fontId="0" fillId="19" borderId="0" xfId="0" applyNumberFormat="1" applyFont="1" applyFill="1" applyBorder="1"/>
    <x:xf numFmtId="0" fontId="10" fillId="19" borderId="0" xfId="0" applyNumberFormat="1" applyFont="1" applyFill="1" applyBorder="1"/>
    <x:xf numFmtId="0" fontId="10" fillId="19" borderId="0" xfId="0" applyNumberFormat="1" applyFont="1" applyFill="1" applyBorder="1" applyAlignment="1">
      <x:alignment vertical="center"/>
    </x:xf>
    <x:xf numFmtId="0" fontId="9" fillId="20" borderId="0" xfId="0" applyNumberFormat="1" applyFont="1" applyFill="1" applyBorder="1" applyAlignment="1">
      <x:alignment vertical="center"/>
    </x:xf>
    <x:xf numFmtId="0" fontId="11" fillId="20" borderId="0" xfId="0" applyNumberFormat="1" applyFont="1" applyFill="1" applyBorder="1" applyAlignment="1">
      <x:alignment vertical="center"/>
    </x:xf>
    <x:xf numFmtId="0" fontId="9" fillId="21" borderId="0" xfId="0" applyNumberFormat="1" applyFont="1" applyFill="1" applyBorder="1" applyAlignment="1">
      <x:alignment vertical="center"/>
    </x:xf>
    <x:xf numFmtId="0" fontId="11" fillId="21" borderId="0" xfId="0" applyNumberFormat="1" applyFont="1" applyFill="1" applyBorder="1" applyAlignment="1">
      <x:alignment vertical="center"/>
    </x:xf>
    <x:xf numFmtId="0" fontId="9" fillId="22" borderId="0" xfId="0" applyNumberFormat="1" applyFont="1" applyFill="1" applyBorder="1" applyAlignment="1">
      <x:alignment vertical="center"/>
    </x:xf>
    <x:xf numFmtId="0" fontId="11" fillId="22" borderId="0" xfId="0" applyNumberFormat="1" applyFont="1" applyFill="1" applyBorder="1" applyAlignment="1">
      <x:alignment vertical="center"/>
    </x:xf>
    <x:xf numFmtId="0" fontId="9" fillId="23" borderId="0" xfId="0" applyNumberFormat="1" applyFont="1" applyFill="1" applyBorder="1" applyAlignment="1">
      <x:alignment vertical="center"/>
    </x:xf>
    <x:xf numFmtId="0" fontId="11" fillId="23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A3412"/>
      </x:font>
      <x:fill>
        <x:patternFill>
          <x:bgColor rgb="FFFFEDD5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c9b9dc1bd34c71" /><Relationship Type="http://schemas.openxmlformats.org/officeDocument/2006/relationships/theme" Target="/xl/theme/theme1.xml" Id="R1040f611429841dc" /><Relationship Type="http://schemas.openxmlformats.org/officeDocument/2006/relationships/sharedStrings" Target="/xl/sharedStrings.xml" Id="Rcab683dbf5a04a8d" /><Relationship Type="http://schemas.openxmlformats.org/officeDocument/2006/relationships/worksheet" Target="/xl/worksheets/sheet1.xml" Id="R151c98473ed34ccd" /></Relationships>
</file>

<file path=xl/tables/table1.xml><?xml version="1.0" encoding="utf-8"?>
<x:table xmlns:x="http://schemas.openxmlformats.org/spreadsheetml/2006/main" id="1" name="FormalTaskSummaryTable" displayName="FormalTaskSummaryTable" ref="A6:R25" headerRowCount="1" totalsRowCount="0" totalsRowShown="0">
  <x:autoFilter ref="A6:R25"/>
  <x:tableColumns count="18">
    <x:tableColumn id="1" name="Task_ID"/>
    <x:tableColumn id="2" name="任务类别"/>
    <x:tableColumn id="3" name="原任务"/>
    <x:tableColumn id="4" name="目标构型"/>
    <x:tableColumn id="5" name="供体类型"/>
    <x:tableColumn id="6" name="候选数"/>
    <x:tableColumn id="7" name="结果类别"/>
    <x:tableColumn id="8" name="Top1溶剂"/>
    <x:tableColumn id="9" name="Top1条件组分"/>
    <x:tableColumn id="10" name="温度(°C)"/>
    <x:tableColumn id="11" name="时间(min)"/>
    <x:tableColumn id="12" name="种子支持"/>
    <x:tableColumn id="13" name="文献证据"/>
    <x:tableColumn id="14" name="同条件先例数"/>
    <x:tableColumn id="15" name="联合相似度"/>
    <x:tableColumn id="16" name="目标构型分数"/>
    <x:tableColumn id="17" name="代表反应ID"/>
    <x:tableColumn id="18" name="结论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471c11c481f4c8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8" hidden="0" customWidth="1"/>
    <x:col min="3" max="3" width="6.889999866485596" hidden="0" customWidth="1"/>
    <x:col min="4" max="4" width="7.559999942779541" hidden="0" customWidth="1"/>
    <x:col min="5" max="5" width="16.110000610351562" hidden="0" customWidth="1"/>
    <x:col min="6" max="6" width="6.889999866485596" hidden="0" customWidth="1"/>
    <x:col min="7" max="7" width="10.5600004196167" hidden="0" customWidth="1"/>
    <x:col min="8" max="8" width="18.329999923706055" hidden="0" customWidth="1"/>
    <x:col min="9" max="9" width="24.440000534057617" hidden="0" customWidth="1"/>
    <x:col min="10" max="10" width="8.4399995803833" hidden="0" customWidth="1"/>
    <x:col min="11" max="11" width="8.4399995803833" hidden="0" customWidth="1"/>
    <x:col min="12" max="12" width="8.670000076293945" hidden="0" customWidth="1"/>
    <x:col min="13" max="13" width="18.329999923706055" hidden="0" customWidth="1"/>
    <x:col min="14" max="14" width="10.220000267028809" hidden="0" customWidth="1"/>
    <x:col min="15" max="15" width="10" hidden="0" customWidth="1"/>
    <x:col min="16" max="16" width="10.670000076293945" hidden="0" customWidth="1"/>
    <x:col min="17" max="17" width="16.110000610351562" hidden="0" customWidth="1"/>
    <x:col min="18" max="18" width="38.88999938964844" hidden="0" customWidth="1"/>
  </x:cols>
  <x:sheetData>
    <x:row r="1" ht="27" customHeight="1">
      <x:c r="A1" s="63" t="str">
        <x:v>正式预测任务结果汇总（条件迁移证据版 1.5.0）</x:v>
      </x:c>
      <x:c r="B1" s="63"/>
      <x:c r="C1" s="63"/>
      <x:c r="D1" s="63"/>
      <x:c r="E1" s="63"/>
      <x:c r="F1" s="63"/>
      <x:c r="G1" s="63"/>
      <x:c r="H1" s="63"/>
      <x:c r="I1" s="63"/>
      <x:c r="J1" s="63"/>
      <x:c r="K1" s="63"/>
      <x:c r="L1" s="63"/>
      <x:c r="M1" s="63"/>
      <x:c r="N1" s="63"/>
      <x:c r="O1" s="63"/>
      <x:c r="P1" s="63"/>
      <x:c r="Q1" s="63"/>
      <x:c r="R1" s="63"/>
    </x:row>
    <x:row r="2" ht="22.5" customHeight="1">
      <x:c r="A2" s="67" t="str">
        <x:v>说明：推荐等级由三个构型模型的目标投票决定；当前条件证据只在同等级内排序。供受体组合历史只在明细CSV中展示，不参与排序。</x:v>
      </x:c>
      <x:c r="B2" s="67"/>
      <x:c r="C2" s="67"/>
      <x:c r="D2" s="67"/>
      <x:c r="E2" s="67"/>
      <x:c r="F2" s="67"/>
      <x:c r="G2" s="67"/>
      <x:c r="H2" s="67"/>
      <x:c r="I2" s="67"/>
      <x:c r="J2" s="67"/>
      <x:c r="K2" s="67"/>
      <x:c r="L2" s="67"/>
      <x:c r="M2" s="67"/>
      <x:c r="N2" s="67"/>
      <x:c r="O2" s="67"/>
      <x:c r="P2" s="67"/>
      <x:c r="Q2" s="67"/>
      <x:c r="R2" s="67"/>
    </x:row>
    <x:row r="4" ht="21" customHeight="1">
      <x:c r="A4" s="70" t="str">
        <x:v>任务总数</x:v>
      </x:c>
      <x:c r="B4" s="72" t="n">
        <x:f>COUNTA(A7:A25)</x:f>
        <x:v>19</x:v>
      </x:c>
      <x:c r="C4" s="70"/>
      <x:c r="D4" s="70" t="str">
        <x:v>优先</x:v>
      </x:c>
      <x:c r="E4" s="72" t="n">
        <x:f>COUNTIF(G7:G25,"优先")</x:f>
        <x:v>14</x:v>
      </x:c>
      <x:c r="F4" s="70"/>
      <x:c r="G4" s="70" t="str">
        <x:v>探索</x:v>
      </x:c>
      <x:c r="H4" s="72" t="n">
        <x:f>COUNTIF(G7:G25,"探索")</x:f>
        <x:v>2</x:v>
      </x:c>
      <x:c r="I4" s="70"/>
      <x:c r="J4" s="70" t="str">
        <x:v>探索性救援</x:v>
      </x:c>
      <x:c r="K4" s="72" t="n">
        <x:f>COUNTIF(G7:G25,"探索性救援")</x:f>
        <x:v>1</x:v>
      </x:c>
      <x:c r="L4" s="70"/>
      <x:c r="M4" s="70" t="str">
        <x:v>无可靠推荐</x:v>
      </x:c>
      <x:c r="N4" s="72" t="n">
        <x:f>COUNTIF(G7:G25,"无可靠推荐")</x:f>
        <x:v>2</x:v>
      </x:c>
    </x:row>
    <x:row r="6" ht="28.5" customHeight="1">
      <x:c r="A6" s="77" t="str">
        <x:v>Task_ID</x:v>
      </x:c>
      <x:c r="B6" s="77" t="str">
        <x:v>任务类别</x:v>
      </x:c>
      <x:c r="C6" s="77" t="str">
        <x:v>原任务</x:v>
      </x:c>
      <x:c r="D6" s="77" t="str">
        <x:v>目标构型</x:v>
      </x:c>
      <x:c r="E6" s="77" t="str">
        <x:v>供体类型</x:v>
      </x:c>
      <x:c r="F6" s="77" t="str">
        <x:v>候选数</x:v>
      </x:c>
      <x:c r="G6" s="77" t="str">
        <x:v>结果类别</x:v>
      </x:c>
      <x:c r="H6" s="77" t="str">
        <x:v>Top1溶剂</x:v>
      </x:c>
      <x:c r="I6" s="77" t="str">
        <x:v>Top1条件组分</x:v>
      </x:c>
      <x:c r="J6" s="77" t="str">
        <x:v>温度(°C)</x:v>
      </x:c>
      <x:c r="K6" s="77" t="str">
        <x:v>时间(min)</x:v>
      </x:c>
      <x:c r="L6" s="77" t="str">
        <x:v>种子支持</x:v>
      </x:c>
      <x:c r="M6" s="77" t="str">
        <x:v>条件迁移证据</x:v>
      </x:c>
      <x:c r="N6" s="77" t="str">
        <x:v>同条件先例数</x:v>
      </x:c>
      <x:c r="O6" s="77" t="str">
        <x:v>联合相似度</x:v>
      </x:c>
      <x:c r="P6" s="77" t="str">
        <x:v>目标构型分数</x:v>
      </x:c>
      <x:c r="Q6" s="77" t="str">
        <x:v>代表反应ID</x:v>
      </x:c>
      <x:c r="R6" s="77" t="str">
        <x:v>结论说明</x:v>
      </x:c>
    </x:row>
    <x:row r="7" ht="28.5" customHeight="1">
      <x:c r="A7" s="44" t="str">
        <x:v>C1_T01</x:v>
      </x:c>
      <x:c r="B7" s="44" t="str">
        <x:v>第一类</x:v>
      </x:c>
      <x:c r="C7" s="44" t="str">
        <x:v>任务1</x:v>
      </x:c>
      <x:c r="D7" s="44" t="str">
        <x:v>α</x:v>
      </x:c>
      <x:c r="E7" s="44" t="str">
        <x:v>硫糖苷</x:v>
      </x:c>
      <x:c r="F7" s="45" t="n">
        <x:v>290</x:v>
      </x:c>
      <x:c r="G7" s="82" t="str">
        <x:v>优先</x:v>
      </x:c>
      <x:c r="H7" s="48" t="str">
        <x:v>Dichloromethane;Diethyl ether</x:v>
      </x:c>
      <x:c r="I7" s="48" t="str">
        <x:v>Trifluoromethanesulfonic acid</x:v>
      </x:c>
      <x:c r="J7" s="46" t="n">
        <x:v>25</x:v>
      </x:c>
      <x:c r="K7" s="46" t="n">
        <x:v>30</x:v>
      </x:c>
      <x:c r="L7" s="44" t="str">
        <x:v>3/3</x:v>
      </x:c>
      <x:c r="M7" s="44" t="str">
        <x:v>同供体条件先例</x:v>
      </x:c>
      <x:c r="N7" s="45" t="n">
        <x:v>1</x:v>
      </x:c>
      <x:c r="O7" s="47" t="n">
        <x:v>0.779661</x:v>
      </x:c>
      <x:c r="P7" s="47" t="n">
        <x:v>0.9888175331677</x:v>
      </x:c>
      <x:c r="Q7" s="44" t="str">
        <x:v>31-013-CAS-16017995</x:v>
      </x:c>
      <x:c r="R7" s="48" t="str">
        <x:v>3/3支持目标构型；条件证据：同供体条件先例；仅表示筛选优先级，不代表成功率</x:v>
      </x:c>
    </x:row>
    <x:row r="8" ht="28.5" customHeight="1">
      <x:c r="A8" s="44" t="str">
        <x:v>C1_T02</x:v>
      </x:c>
      <x:c r="B8" s="44" t="str">
        <x:v>第一类</x:v>
      </x:c>
      <x:c r="C8" s="44" t="str">
        <x:v>任务2</x:v>
      </x:c>
      <x:c r="D8" s="44" t="str">
        <x:v>α</x:v>
      </x:c>
      <x:c r="E8" s="44" t="str">
        <x:v>硫糖苷</x:v>
      </x:c>
      <x:c r="F8" s="45" t="n">
        <x:v>290</x:v>
      </x:c>
      <x:c r="G8" s="82" t="str">
        <x:v>优先</x:v>
      </x:c>
      <x:c r="H8" s="48" t="str">
        <x:v>Dichloromethane</x:v>
      </x:c>
      <x:c r="I8" s="48" t="str">
        <x:v>N-Iodosuccinimide</x:v>
      </x:c>
      <x:c r="J8" s="46" t="n">
        <x:v>25</x:v>
      </x:c>
      <x:c r="K8" s="46" t="n">
        <x:v>30</x:v>
      </x:c>
      <x:c r="L8" s="44" t="str">
        <x:v>3/3</x:v>
      </x:c>
      <x:c r="M8" s="44" t="str">
        <x:v>同供体条件先例</x:v>
      </x:c>
      <x:c r="N8" s="45" t="n">
        <x:v>38</x:v>
      </x:c>
      <x:c r="O8" s="47" t="n">
        <x:v>0.779661</x:v>
      </x:c>
      <x:c r="P8" s="47" t="n">
        <x:v>0.9960741774411873</x:v>
      </x:c>
      <x:c r="Q8" s="44" t="str">
        <x:v>31-013-CAS-15304342</x:v>
      </x:c>
      <x:c r="R8" s="48" t="str">
        <x:v>3/3支持目标构型；条件证据：同供体条件先例；仅表示筛选优先级，不代表成功率</x:v>
      </x:c>
    </x:row>
    <x:row r="9" ht="28.5" customHeight="1">
      <x:c r="A9" s="44" t="str">
        <x:v>C1_T03</x:v>
      </x:c>
      <x:c r="B9" s="44" t="str">
        <x:v>第一类</x:v>
      </x:c>
      <x:c r="C9" s="44" t="str">
        <x:v>任务3</x:v>
      </x:c>
      <x:c r="D9" s="44" t="str">
        <x:v>β</x:v>
      </x:c>
      <x:c r="E9" s="44" t="str">
        <x:v>硫糖苷</x:v>
      </x:c>
      <x:c r="F9" s="45" t="n">
        <x:v>290</x:v>
      </x:c>
      <x:c r="G9" s="82" t="str">
        <x:v>优先</x:v>
      </x:c>
      <x:c r="H9" s="48" t="str">
        <x:v>Dichloromethane</x:v>
      </x:c>
      <x:c r="I9" s="48" t="str">
        <x:v>Trimethylsilyl triflate</x:v>
      </x:c>
      <x:c r="J9" s="46" t="n">
        <x:v>0</x:v>
      </x:c>
      <x:c r="K9" s="46" t="n">
        <x:v>30</x:v>
      </x:c>
      <x:c r="L9" s="44" t="str">
        <x:v>3/3</x:v>
      </x:c>
      <x:c r="M9" s="44" t="str">
        <x:v>同供体条件先例</x:v>
      </x:c>
      <x:c r="N9" s="45" t="n">
        <x:v>3</x:v>
      </x:c>
      <x:c r="O9" s="47" t="n">
        <x:v>0.830508</x:v>
      </x:c>
      <x:c r="P9" s="47" t="n">
        <x:v>0.960458278656006</x:v>
      </x:c>
      <x:c r="Q9" s="44" t="str">
        <x:v>31-013-CAS-22941545</x:v>
      </x:c>
      <x:c r="R9" s="48" t="str">
        <x:v>3/3支持目标构型；条件证据：同供体条件先例；仅表示筛选优先级，不代表成功率</x:v>
      </x:c>
    </x:row>
    <x:row r="10" ht="28.5" customHeight="1">
      <x:c r="A10" s="44" t="str">
        <x:v>C1_T04</x:v>
      </x:c>
      <x:c r="B10" s="44" t="str">
        <x:v>第一类</x:v>
      </x:c>
      <x:c r="C10" s="44" t="str">
        <x:v>任务4</x:v>
      </x:c>
      <x:c r="D10" s="44" t="str">
        <x:v>β</x:v>
      </x:c>
      <x:c r="E10" s="44" t="str">
        <x:v>三氯乙酰亚胺酸酯</x:v>
      </x:c>
      <x:c r="F10" s="45" t="n">
        <x:v>199</x:v>
      </x:c>
      <x:c r="G10" s="82" t="str">
        <x:v>优先</x:v>
      </x:c>
      <x:c r="H10" s="48" t="str">
        <x:v>Dichloromethane;Diethyl ether</x:v>
      </x:c>
      <x:c r="I10" s="48" t="str">
        <x:v>Boron trifluoride etherate</x:v>
      </x:c>
      <x:c r="J10" s="46" t="n">
        <x:v>-5</x:v>
      </x:c>
      <x:c r="K10" s="46" t="n">
        <x:v>15</x:v>
      </x:c>
      <x:c r="L10" s="44" t="str">
        <x:v>3/3</x:v>
      </x:c>
      <x:c r="M10" s="44" t="str">
        <x:v>同供体条件先例</x:v>
      </x:c>
      <x:c r="N10" s="45" t="n">
        <x:v>1</x:v>
      </x:c>
      <x:c r="O10" s="47" t="n">
        <x:v>0.5</x:v>
      </x:c>
      <x:c r="P10" s="47" t="n">
        <x:v>0.9808262983957926</x:v>
      </x:c>
      <x:c r="Q10" s="44" t="str">
        <x:v>31-010-CAS-2584175</x:v>
      </x:c>
      <x:c r="R10" s="48" t="str">
        <x:v>3/3支持目标构型；条件证据：同供体条件先例；仅表示筛选优先级，不代表成功率</x:v>
      </x:c>
    </x:row>
    <x:row r="11" ht="28.5" customHeight="1">
      <x:c r="A11" s="44" t="str">
        <x:v>C1_T05</x:v>
      </x:c>
      <x:c r="B11" s="44" t="str">
        <x:v>第一类</x:v>
      </x:c>
      <x:c r="C11" s="44" t="str">
        <x:v>任务5</x:v>
      </x:c>
      <x:c r="D11" s="44" t="str">
        <x:v>β</x:v>
      </x:c>
      <x:c r="E11" s="44" t="str">
        <x:v>三氯乙酰亚胺酸酯</x:v>
      </x:c>
      <x:c r="F11" s="45" t="n">
        <x:v>199</x:v>
      </x:c>
      <x:c r="G11" s="82" t="str">
        <x:v>优先</x:v>
      </x:c>
      <x:c r="H11" s="48" t="str">
        <x:v>Acetonitrile;Dichloromethane</x:v>
      </x:c>
      <x:c r="I11" s="48" t="str">
        <x:v>Trimethylsilyl triflate</x:v>
      </x:c>
      <x:c r="J11" s="46" t="n">
        <x:v>-25</x:v>
      </x:c>
      <x:c r="K11" s="46" t="n">
        <x:v>30</x:v>
      </x:c>
      <x:c r="L11" s="44" t="str">
        <x:v>3/3</x:v>
      </x:c>
      <x:c r="M11" s="44" t="str">
        <x:v>同供体条件先例</x:v>
      </x:c>
      <x:c r="N11" s="45" t="n">
        <x:v>2</x:v>
      </x:c>
      <x:c r="O11" s="47" t="n">
        <x:v>0.661538</x:v>
      </x:c>
      <x:c r="P11" s="47" t="n">
        <x:v>0.9735357562700908</x:v>
      </x:c>
      <x:c r="Q11" s="44" t="str">
        <x:v>31-010-CAS-9368010</x:v>
      </x:c>
      <x:c r="R11" s="48" t="str">
        <x:v>3/3支持目标构型；条件证据：同供体条件先例；仅表示筛选优先级，不代表成功率</x:v>
      </x:c>
    </x:row>
    <x:row r="12" ht="28.5" customHeight="1">
      <x:c r="A12" s="44" t="str">
        <x:v>C1_T06</x:v>
      </x:c>
      <x:c r="B12" s="44" t="str">
        <x:v>第一类</x:v>
      </x:c>
      <x:c r="C12" s="44" t="str">
        <x:v>任务6</x:v>
      </x:c>
      <x:c r="D12" s="44" t="str">
        <x:v>α</x:v>
      </x:c>
      <x:c r="E12" s="44" t="str">
        <x:v>三氟乙酰亚胺酸酯</x:v>
      </x:c>
      <x:c r="F12" s="45" t="n">
        <x:v>47</x:v>
      </x:c>
      <x:c r="G12" s="82" t="str">
        <x:v>优先</x:v>
      </x:c>
      <x:c r="H12" s="48" t="str">
        <x:v>Dichloromethane;Toluene</x:v>
      </x:c>
      <x:c r="I12" s="48" t="str">
        <x:v>Pyridine</x:v>
      </x:c>
      <x:c r="J12" s="46" t="n">
        <x:v>25</x:v>
      </x:c>
      <x:c r="K12" s="46" t="n">
        <x:v>60</x:v>
      </x:c>
      <x:c r="L12" s="44" t="str">
        <x:v>3/3</x:v>
      </x:c>
      <x:c r="M12" s="44" t="str">
        <x:v>类似底物条件先例</x:v>
      </x:c>
      <x:c r="N12" s="45" t="n">
        <x:v>6</x:v>
      </x:c>
      <x:c r="O12" s="47" t="n">
        <x:v>0.518987</x:v>
      </x:c>
      <x:c r="P12" s="47" t="n">
        <x:v>0.9824838112496461</x:v>
      </x:c>
      <x:c r="Q12" s="44" t="str">
        <x:v>31-010-CAS-2969316</x:v>
      </x:c>
      <x:c r="R12" s="48" t="str">
        <x:v>3/3支持目标构型；条件证据：类似底物条件先例；仅表示筛选优先级，不代表成功率</x:v>
      </x:c>
    </x:row>
    <x:row r="13" ht="28.5" customHeight="1">
      <x:c r="A13" s="44" t="str">
        <x:v>C1_T07</x:v>
      </x:c>
      <x:c r="B13" s="44" t="str">
        <x:v>第一类</x:v>
      </x:c>
      <x:c r="C13" s="44" t="str">
        <x:v>任务7</x:v>
      </x:c>
      <x:c r="D13" s="44" t="str">
        <x:v>β</x:v>
      </x:c>
      <x:c r="E13" s="44" t="str">
        <x:v>硫糖苷</x:v>
      </x:c>
      <x:c r="F13" s="45" t="n">
        <x:v>291</x:v>
      </x:c>
      <x:c r="G13" s="82" t="str">
        <x:v>优先</x:v>
      </x:c>
      <x:c r="H13" s="48" t="str">
        <x:v>Dichloromethane</x:v>
      </x:c>
      <x:c r="I13" s="48" t="str">
        <x:v>N-Iodosuccinimide</x:v>
      </x:c>
      <x:c r="J13" s="46" t="n">
        <x:v>25</x:v>
      </x:c>
      <x:c r="K13" s="46" t="n">
        <x:v>60</x:v>
      </x:c>
      <x:c r="L13" s="44" t="str">
        <x:v>3/3</x:v>
      </x:c>
      <x:c r="M13" s="44" t="str">
        <x:v>同受体条件先例</x:v>
      </x:c>
      <x:c r="N13" s="45" t="n">
        <x:v>28</x:v>
      </x:c>
      <x:c r="O13" s="47" t="n">
        <x:v>0.811321</x:v>
      </x:c>
      <x:c r="P13" s="47" t="n">
        <x:v>0.9740092555681864</x:v>
      </x:c>
      <x:c r="Q13" s="44" t="str">
        <x:v>31-013-CAS-17381406</x:v>
      </x:c>
      <x:c r="R13" s="48" t="str">
        <x:v>3/3支持目标构型；条件证据：同受体条件先例；仅表示筛选优先级，不代表成功率</x:v>
      </x:c>
    </x:row>
    <x:row r="14" ht="28.5" customHeight="1">
      <x:c r="A14" s="44" t="str">
        <x:v>C1_T08</x:v>
      </x:c>
      <x:c r="B14" s="44" t="str">
        <x:v>第一类</x:v>
      </x:c>
      <x:c r="C14" s="44" t="str">
        <x:v>任务7</x:v>
      </x:c>
      <x:c r="D14" s="44" t="str">
        <x:v>β</x:v>
      </x:c>
      <x:c r="E14" s="44" t="str">
        <x:v>三氯乙酰亚胺酸酯</x:v>
      </x:c>
      <x:c r="F14" s="45" t="n">
        <x:v>200</x:v>
      </x:c>
      <x:c r="G14" s="82" t="str">
        <x:v>优先</x:v>
      </x:c>
      <x:c r="H14" s="48" t="str">
        <x:v>Dichloromethane</x:v>
      </x:c>
      <x:c r="I14" s="48" t="str">
        <x:v>Triethylamine</x:v>
      </x:c>
      <x:c r="J14" s="46" t="n">
        <x:v>0</x:v>
      </x:c>
      <x:c r="K14" s="46" t="n">
        <x:v>120</x:v>
      </x:c>
      <x:c r="L14" s="44" t="str">
        <x:v>3/3</x:v>
      </x:c>
      <x:c r="M14" s="44" t="str">
        <x:v>类似底物条件先例</x:v>
      </x:c>
      <x:c r="N14" s="45" t="n">
        <x:v>2</x:v>
      </x:c>
      <x:c r="O14" s="47" t="n">
        <x:v>0.554348</x:v>
      </x:c>
      <x:c r="P14" s="47" t="n">
        <x:v>0.9703610142072042</x:v>
      </x:c>
      <x:c r="Q14" s="44" t="str">
        <x:v>31-010-CAS-5898048</x:v>
      </x:c>
      <x:c r="R14" s="48" t="str">
        <x:v>3/3支持目标构型；条件证据：类似底物条件先例；仅表示筛选优先级，不代表成功率</x:v>
      </x:c>
    </x:row>
    <x:row r="15" ht="28.5" customHeight="1">
      <x:c r="A15" s="44" t="str">
        <x:v>C2_T01</x:v>
      </x:c>
      <x:c r="B15" s="44" t="str">
        <x:v>第二类</x:v>
      </x:c>
      <x:c r="C15" s="44" t="str">
        <x:v>任务1</x:v>
      </x:c>
      <x:c r="D15" s="44" t="str">
        <x:v>β</x:v>
      </x:c>
      <x:c r="E15" s="44" t="str">
        <x:v>硫糖苷</x:v>
      </x:c>
      <x:c r="F15" s="45" t="n">
        <x:v>290</x:v>
      </x:c>
      <x:c r="G15" s="84" t="str">
        <x:v>探索</x:v>
      </x:c>
      <x:c r="H15" s="48" t="str">
        <x:v>Acetonitrile</x:v>
      </x:c>
      <x:c r="I15" s="48" t="str">
        <x:v>Potassium carbonate</x:v>
      </x:c>
      <x:c r="J15" s="46" t="n">
        <x:v>25</x:v>
      </x:c>
      <x:c r="K15" s="46" t="n">
        <x:v>300</x:v>
      </x:c>
      <x:c r="L15" s="44" t="str">
        <x:v>2/3</x:v>
      </x:c>
      <x:c r="M15" s="44" t="str">
        <x:v>类似底物条件先例</x:v>
      </x:c>
      <x:c r="N15" s="45" t="n">
        <x:v>2</x:v>
      </x:c>
      <x:c r="O15" s="47" t="n">
        <x:v>0.566038</x:v>
      </x:c>
      <x:c r="P15" s="47" t="n">
        <x:v>0.6848570307095846</x:v>
      </x:c>
      <x:c r="Q15" s="44" t="str">
        <x:v>31-013-CAS-21555454</x:v>
      </x:c>
      <x:c r="R15" s="48" t="str">
        <x:v>2/3支持目标构型；条件证据：类似底物条件先例；仅表示筛选优先级，不代表成功率</x:v>
      </x:c>
    </x:row>
    <x:row r="16" ht="28.5" customHeight="1">
      <x:c r="A16" s="44" t="str">
        <x:v>C2_T02</x:v>
      </x:c>
      <x:c r="B16" s="44" t="str">
        <x:v>第二类</x:v>
      </x:c>
      <x:c r="C16" s="44" t="str">
        <x:v>任务2</x:v>
      </x:c>
      <x:c r="D16" s="44" t="str">
        <x:v>β</x:v>
      </x:c>
      <x:c r="E16" s="44" t="str">
        <x:v>硫糖苷</x:v>
      </x:c>
      <x:c r="F16" s="45" t="n">
        <x:v>290</x:v>
      </x:c>
      <x:c r="G16" s="86" t="str">
        <x:v>无可靠推荐</x:v>
      </x:c>
      <x:c r="H16" s="48"/>
      <x:c r="I16" s="48"/>
      <x:c r="J16" s="46"/>
      <x:c r="K16" s="46"/>
      <x:c r="L16" s="44" t="str">
        <x:v>1/3（最高）</x:v>
      </x:c>
      <x:c r="M16" s="44"/>
      <x:c r="N16" s="45"/>
      <x:c r="O16" s="47"/>
      <x:c r="P16" s="47"/>
      <x:c r="Q16" s="44"/>
      <x:c r="R16" s="48" t="str">
        <x:v>最高仅1/3支持目标构型；不推荐</x:v>
      </x:c>
    </x:row>
    <x:row r="17" ht="28.5" customHeight="1">
      <x:c r="A17" s="44" t="str">
        <x:v>C2_T03</x:v>
      </x:c>
      <x:c r="B17" s="44" t="str">
        <x:v>第二类</x:v>
      </x:c>
      <x:c r="C17" s="44" t="str">
        <x:v>任务3</x:v>
      </x:c>
      <x:c r="D17" s="44" t="str">
        <x:v>α</x:v>
      </x:c>
      <x:c r="E17" s="44" t="str">
        <x:v>硫糖苷</x:v>
      </x:c>
      <x:c r="F17" s="45" t="n">
        <x:v>290</x:v>
      </x:c>
      <x:c r="G17" s="82" t="str">
        <x:v>优先</x:v>
      </x:c>
      <x:c r="H17" s="48" t="str">
        <x:v>Toluene</x:v>
      </x:c>
      <x:c r="I17" s="48" t="str">
        <x:v>Trifluoromethanesulfonic acid</x:v>
      </x:c>
      <x:c r="J17" s="46" t="n">
        <x:v>0</x:v>
      </x:c>
      <x:c r="K17" s="46" t="n">
        <x:v>480</x:v>
      </x:c>
      <x:c r="L17" s="44" t="str">
        <x:v>3/3</x:v>
      </x:c>
      <x:c r="M17" s="44" t="str">
        <x:v>类似底物条件先例</x:v>
      </x:c>
      <x:c r="N17" s="45" t="n">
        <x:v>1</x:v>
      </x:c>
      <x:c r="O17" s="47" t="n">
        <x:v>0.318182</x:v>
      </x:c>
      <x:c r="P17" s="47" t="n">
        <x:v>0.6233789175748825</x:v>
      </x:c>
      <x:c r="Q17" s="44" t="str">
        <x:v>31-013-CAS-2282258</x:v>
      </x:c>
      <x:c r="R17" s="48" t="str">
        <x:v>3/3支持目标构型；条件证据：类似底物条件先例；仅表示筛选优先级，不代表成功率</x:v>
      </x:c>
    </x:row>
    <x:row r="18" ht="28.5" customHeight="1">
      <x:c r="A18" s="44" t="str">
        <x:v>C2_T04</x:v>
      </x:c>
      <x:c r="B18" s="44" t="str">
        <x:v>第二类</x:v>
      </x:c>
      <x:c r="C18" s="44" t="str">
        <x:v>任务4</x:v>
      </x:c>
      <x:c r="D18" s="44" t="str">
        <x:v>α</x:v>
      </x:c>
      <x:c r="E18" s="44" t="str">
        <x:v>三氯乙酰亚胺酸酯</x:v>
      </x:c>
      <x:c r="F18" s="45" t="n">
        <x:v>199</x:v>
      </x:c>
      <x:c r="G18" s="82" t="str">
        <x:v>优先</x:v>
      </x:c>
      <x:c r="H18" s="48" t="str">
        <x:v>Dichloromethane</x:v>
      </x:c>
      <x:c r="I18" s="48" t="str">
        <x:v>Triethylsilyl 1,1,1-trifluoromethanesulfonate</x:v>
      </x:c>
      <x:c r="J18" s="46" t="n">
        <x:v>0</x:v>
      </x:c>
      <x:c r="K18" s="46" t="n">
        <x:v>180</x:v>
      </x:c>
      <x:c r="L18" s="44" t="str">
        <x:v>3/3</x:v>
      </x:c>
      <x:c r="M18" s="44" t="str">
        <x:v>类似底物条件先例</x:v>
      </x:c>
      <x:c r="N18" s="45" t="n">
        <x:v>2</x:v>
      </x:c>
      <x:c r="O18" s="47" t="n">
        <x:v>0.428571</x:v>
      </x:c>
      <x:c r="P18" s="47" t="n">
        <x:v>0.8445288374399146</x:v>
      </x:c>
      <x:c r="Q18" s="44" t="str">
        <x:v>31-010-CAS-13714427</x:v>
      </x:c>
      <x:c r="R18" s="48" t="str">
        <x:v>3/3支持目标构型；条件证据：类似底物条件先例；仅表示筛选优先级，不代表成功率</x:v>
      </x:c>
    </x:row>
    <x:row r="19" ht="28.5" customHeight="1">
      <x:c r="A19" s="44" t="str">
        <x:v>C2_T05</x:v>
      </x:c>
      <x:c r="B19" s="44" t="str">
        <x:v>第二类</x:v>
      </x:c>
      <x:c r="C19" s="44" t="str">
        <x:v>任务5</x:v>
      </x:c>
      <x:c r="D19" s="44" t="str">
        <x:v>α</x:v>
      </x:c>
      <x:c r="E19" s="44" t="str">
        <x:v>三氯乙酰亚胺酸酯</x:v>
      </x:c>
      <x:c r="F19" s="45" t="n">
        <x:v>199</x:v>
      </x:c>
      <x:c r="G19" s="86" t="str">
        <x:v>无可靠推荐</x:v>
      </x:c>
      <x:c r="H19" s="48"/>
      <x:c r="I19" s="48"/>
      <x:c r="J19" s="46"/>
      <x:c r="K19" s="46"/>
      <x:c r="L19" s="44" t="str">
        <x:v>1/3（最高）</x:v>
      </x:c>
      <x:c r="M19" s="44"/>
      <x:c r="N19" s="45"/>
      <x:c r="O19" s="47"/>
      <x:c r="P19" s="47"/>
      <x:c r="Q19" s="44"/>
      <x:c r="R19" s="48" t="str">
        <x:v>最高仅1/3支持目标构型；不推荐</x:v>
      </x:c>
    </x:row>
    <x:row r="20" ht="28.5" customHeight="1">
      <x:c r="A20" s="44" t="str">
        <x:v>C2_T06</x:v>
      </x:c>
      <x:c r="B20" s="44" t="str">
        <x:v>第二类</x:v>
      </x:c>
      <x:c r="C20" s="44" t="str">
        <x:v>任务6</x:v>
      </x:c>
      <x:c r="D20" s="44" t="str">
        <x:v>β</x:v>
      </x:c>
      <x:c r="E20" s="44" t="str">
        <x:v>三氟乙酰亚胺酸酯</x:v>
      </x:c>
      <x:c r="F20" s="45" t="n">
        <x:v>47</x:v>
      </x:c>
      <x:c r="G20" s="82" t="str">
        <x:v>优先</x:v>
      </x:c>
      <x:c r="H20" s="48" t="str">
        <x:v>Dichloromethane</x:v>
      </x:c>
      <x:c r="I20" s="48" t="str">
        <x:v>Trimethylsilyl triflate</x:v>
      </x:c>
      <x:c r="J20" s="46" t="n">
        <x:v>25</x:v>
      </x:c>
      <x:c r="K20" s="46" t="n">
        <x:v>120</x:v>
      </x:c>
      <x:c r="L20" s="44" t="str">
        <x:v>3/3</x:v>
      </x:c>
      <x:c r="M20" s="44" t="str">
        <x:v>类似底物条件先例</x:v>
      </x:c>
      <x:c r="N20" s="45" t="n">
        <x:v>1</x:v>
      </x:c>
      <x:c r="O20" s="47" t="n">
        <x:v>0.555556</x:v>
      </x:c>
      <x:c r="P20" s="47" t="n">
        <x:v>0.8782130479812622</x:v>
      </x:c>
      <x:c r="Q20" s="44" t="str">
        <x:v>31-013-CAS-13390852</x:v>
      </x:c>
      <x:c r="R20" s="48" t="str">
        <x:v>3/3支持目标构型；条件证据：类似底物条件先例；仅表示筛选优先级，不代表成功率</x:v>
      </x:c>
    </x:row>
    <x:row r="21" ht="28.5" customHeight="1">
      <x:c r="A21" s="44" t="str">
        <x:v>C2_T07</x:v>
      </x:c>
      <x:c r="B21" s="44" t="str">
        <x:v>第二类</x:v>
      </x:c>
      <x:c r="C21" s="44" t="str">
        <x:v>任务7</x:v>
      </x:c>
      <x:c r="D21" s="44" t="str">
        <x:v>α</x:v>
      </x:c>
      <x:c r="E21" s="44" t="str">
        <x:v>硫糖苷</x:v>
      </x:c>
      <x:c r="F21" s="45" t="n">
        <x:v>291</x:v>
      </x:c>
      <x:c r="G21" s="84" t="str">
        <x:v>探索</x:v>
      </x:c>
      <x:c r="H21" s="48" t="str">
        <x:v>Dichloromethane</x:v>
      </x:c>
      <x:c r="I21" s="48" t="str">
        <x:v>Sodium bicarbonate</x:v>
      </x:c>
      <x:c r="J21" s="46" t="n">
        <x:v>-78</x:v>
      </x:c>
      <x:c r="K21" s="46" t="n">
        <x:v>5</x:v>
      </x:c>
      <x:c r="L21" s="44" t="str">
        <x:v>2/3</x:v>
      </x:c>
      <x:c r="M21" s="44" t="str">
        <x:v>类似底物条件先例</x:v>
      </x:c>
      <x:c r="N21" s="45" t="n">
        <x:v>1</x:v>
      </x:c>
      <x:c r="O21" s="47" t="n">
        <x:v>0.52381</x:v>
      </x:c>
      <x:c r="P21" s="47" t="n">
        <x:v>0.17877970139185584</x:v>
      </x:c>
      <x:c r="Q21" s="44" t="str">
        <x:v>31-013-CAS-1252855</x:v>
      </x:c>
      <x:c r="R21" s="48" t="str">
        <x:v>2/3支持目标构型；条件证据：类似底物条件先例；仅表示筛选优先级，不代表成功率</x:v>
      </x:c>
    </x:row>
    <x:row r="22" ht="28.5" customHeight="1">
      <x:c r="A22" s="44" t="str">
        <x:v>C2_T08</x:v>
      </x:c>
      <x:c r="B22" s="44" t="str">
        <x:v>第二类</x:v>
      </x:c>
      <x:c r="C22" s="44" t="str">
        <x:v>任务7</x:v>
      </x:c>
      <x:c r="D22" s="44" t="str">
        <x:v>α</x:v>
      </x:c>
      <x:c r="E22" s="44" t="str">
        <x:v>三氯乙酰亚胺酸酯</x:v>
      </x:c>
      <x:c r="F22" s="45" t="n">
        <x:v>200</x:v>
      </x:c>
      <x:c r="G22" s="82" t="str">
        <x:v>优先</x:v>
      </x:c>
      <x:c r="H22" s="48" t="str">
        <x:v>Dichloromethane</x:v>
      </x:c>
      <x:c r="I22" s="48" t="str">
        <x:v>Pyridine</x:v>
      </x:c>
      <x:c r="J22" s="46" t="n">
        <x:v>25</x:v>
      </x:c>
      <x:c r="K22" s="46" t="n">
        <x:v>30</x:v>
      </x:c>
      <x:c r="L22" s="44" t="str">
        <x:v>3/3</x:v>
      </x:c>
      <x:c r="M22" s="44" t="str">
        <x:v>类似底物条件先例</x:v>
      </x:c>
      <x:c r="N22" s="45" t="n">
        <x:v>1</x:v>
      </x:c>
      <x:c r="O22" s="47" t="n">
        <x:v>0.355769</x:v>
      </x:c>
      <x:c r="P22" s="47" t="n">
        <x:v>0.7460431313763063</x:v>
      </x:c>
      <x:c r="Q22" s="44" t="str">
        <x:v>31-010-CAS-1767038</x:v>
      </x:c>
      <x:c r="R22" s="48" t="str">
        <x:v>3/3支持目标构型；条件证据：类似底物条件先例；仅表示筛选优先级，不代表成功率</x:v>
      </x:c>
    </x:row>
    <x:row r="23" ht="28.5" customHeight="1">
      <x:c r="A23" s="44" t="str">
        <x:v>C2_T09</x:v>
      </x:c>
      <x:c r="B23" s="44" t="str">
        <x:v>第二类</x:v>
      </x:c>
      <x:c r="C23" s="44" t="str">
        <x:v>任务8</x:v>
      </x:c>
      <x:c r="D23" s="44" t="str">
        <x:v>α</x:v>
      </x:c>
      <x:c r="E23" s="44" t="str">
        <x:v>硫糖苷</x:v>
      </x:c>
      <x:c r="F23" s="45" t="n">
        <x:v>291</x:v>
      </x:c>
      <x:c r="G23" s="82" t="str">
        <x:v>优先</x:v>
      </x:c>
      <x:c r="H23" s="48" t="str">
        <x:v>Toluene</x:v>
      </x:c>
      <x:c r="I23" s="48" t="str">
        <x:v>Triethylamine</x:v>
      </x:c>
      <x:c r="J23" s="46" t="n">
        <x:v>25</x:v>
      </x:c>
      <x:c r="K23" s="46" t="n">
        <x:v>30</x:v>
      </x:c>
      <x:c r="L23" s="44" t="str">
        <x:v>3/3</x:v>
      </x:c>
      <x:c r="M23" s="44" t="str">
        <x:v>类似底物条件先例</x:v>
      </x:c>
      <x:c r="N23" s="45" t="n">
        <x:v>3</x:v>
      </x:c>
      <x:c r="O23" s="47" t="n">
        <x:v>0.450704</x:v>
      </x:c>
      <x:c r="P23" s="47" t="n">
        <x:v>0.8429574879507225</x:v>
      </x:c>
      <x:c r="Q23" s="44" t="str">
        <x:v>31-013-CAS-15220844</x:v>
      </x:c>
      <x:c r="R23" s="48" t="str">
        <x:v>3/3支持目标构型；条件证据：类似底物条件先例；仅表示筛选优先级，不代表成功率</x:v>
      </x:c>
    </x:row>
    <x:row r="24" ht="28.5" customHeight="1">
      <x:c r="A24" s="44" t="str">
        <x:v>C2_T10</x:v>
      </x:c>
      <x:c r="B24" s="44" t="str">
        <x:v>第二类</x:v>
      </x:c>
      <x:c r="C24" s="44" t="str">
        <x:v>任务9</x:v>
      </x:c>
      <x:c r="D24" s="44" t="str">
        <x:v>β</x:v>
      </x:c>
      <x:c r="E24" s="44" t="str">
        <x:v>三氟乙酰亚胺酸酯</x:v>
      </x:c>
      <x:c r="F24" s="45" t="n">
        <x:v>48</x:v>
      </x:c>
      <x:c r="G24" s="82" t="str">
        <x:v>优先</x:v>
      </x:c>
      <x:c r="H24" s="48" t="str">
        <x:v>Dichloromethane</x:v>
      </x:c>
      <x:c r="I24" s="48" t="str">
        <x:v>Triethylamine</x:v>
      </x:c>
      <x:c r="J24" s="46" t="n">
        <x:v>-70</x:v>
      </x:c>
      <x:c r="K24" s="46" t="n">
        <x:v>60</x:v>
      </x:c>
      <x:c r="L24" s="44" t="str">
        <x:v>3/3</x:v>
      </x:c>
      <x:c r="M24" s="44" t="str">
        <x:v>类似底物条件先例</x:v>
      </x:c>
      <x:c r="N24" s="45" t="n">
        <x:v>1</x:v>
      </x:c>
      <x:c r="O24" s="47" t="n">
        <x:v>0.436364</x:v>
      </x:c>
      <x:c r="P24" s="47" t="n">
        <x:v>0.888390044371287</x:v>
      </x:c>
      <x:c r="Q24" s="44" t="str">
        <x:v>31-013-CAS-9679278</x:v>
      </x:c>
      <x:c r="R24" s="48" t="str">
        <x:v>3/3支持目标构型；条件证据：类似底物条件先例；仅表示筛选优先级，不代表成功率</x:v>
      </x:c>
    </x:row>
    <x:row r="25" ht="28.5" customHeight="1">
      <x:c r="A25" s="44" t="str">
        <x:v>C3_T01</x:v>
      </x:c>
      <x:c r="B25" s="44" t="str">
        <x:v>第三类</x:v>
      </x:c>
      <x:c r="C25" s="44" t="str">
        <x:v>任务1</x:v>
      </x:c>
      <x:c r="D25" s="44" t="str">
        <x:v>不限</x:v>
      </x:c>
      <x:c r="E25" s="44" t="str">
        <x:v>三氟乙酰亚胺酸酯</x:v>
      </x:c>
      <x:c r="F25" s="45" t="n">
        <x:v>48</x:v>
      </x:c>
      <x:c r="G25" s="88" t="str">
        <x:v>探索性救援</x:v>
      </x:c>
      <x:c r="H25" s="48" t="str">
        <x:v>Dichloromethane</x:v>
      </x:c>
      <x:c r="I25" s="48" t="str">
        <x:v>Trimethylsilyl triflate</x:v>
      </x:c>
      <x:c r="J25" s="46" t="n">
        <x:v>25</x:v>
      </x:c>
      <x:c r="K25" s="46" t="n">
        <x:v>30</x:v>
      </x:c>
      <x:c r="L25" s="44" t="str">
        <x:v>不适用</x:v>
      </x:c>
      <x:c r="M25" s="44" t="str">
        <x:v>类似底物条件先例</x:v>
      </x:c>
      <x:c r="N25" s="45" t="n">
        <x:v>4</x:v>
      </x:c>
      <x:c r="O25" s="47" t="n">
        <x:v>0.826667</x:v>
      </x:c>
      <x:c r="P25" s="47"/>
      <x:c r="Q25" s="44" t="str">
        <x:v>31-614-CAS-38242450</x:v>
      </x:c>
      <x:c r="R25" s="48" t="str">
        <x:v>探索性救援；条件证据：类似底物条件先例；不保证发生反应</x:v>
      </x:c>
    </x:row>
    <x:row r="27" ht="21" customHeight="1">
      <x:c r="A27" s="80" t="str">
        <x:v>数据来源：formal_tasks_v1.csv、top8_conditions.csv、all_candidates_ranked.csv；模型未重新训练；供受体历史与当前条件证据已拆分，前者不参与排序。</x:v>
      </x:c>
      <x:c r="B27" s="80"/>
      <x:c r="C27" s="80"/>
      <x:c r="D27" s="80"/>
      <x:c r="E27" s="80"/>
      <x:c r="F27" s="80"/>
      <x:c r="G27" s="80"/>
      <x:c r="H27" s="80"/>
      <x:c r="I27" s="80"/>
      <x:c r="J27" s="80"/>
      <x:c r="K27" s="80"/>
      <x:c r="L27" s="80"/>
      <x:c r="M27" s="80"/>
      <x:c r="N27" s="80"/>
      <x:c r="O27" s="80"/>
      <x:c r="P27" s="80"/>
      <x:c r="Q27" s="80"/>
      <x:c r="R27" s="80"/>
    </x:row>
  </x:sheetData>
  <x:mergeCells>
    <x:mergeCell ref="A1:R1"/>
    <x:mergeCell ref="A2:R2"/>
    <x:mergeCell ref="A27:R27"/>
  </x:mergeCells>
  <x:conditionalFormatting sqref="G7:G25">
    <x:cfRule type="containsText" dxfId="0" priority="1" operator="containsText" text="A级"/>
    <x:cfRule type="containsText" dxfId="1" priority="2" operator="containsText" text="C级探索"/>
    <x:cfRule type="containsText" dxfId="2" priority="3" operator="containsText" text="探索性救援"/>
    <x:cfRule type="containsText" dxfId="3" priority="4" operator="containsText" text="无可靠推荐"/>
  </x:conditionalFormatting>
  <x:pageMargins left="0.7" right="0.7" top="0.75" bottom="0.75" header="0.3" footer="0.3"/>
  <x:tableParts count="1">
    <x:tablePart xmlns:r="http://schemas.openxmlformats.org/officeDocument/2006/relationships" r:id="Rd471c11c481f4c86"/>
  </x:tableParts>
</x:worksheet>
</file>