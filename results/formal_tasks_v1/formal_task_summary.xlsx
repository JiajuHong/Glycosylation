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7162c1a3a94aa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任务汇总" sheetId="1" r:id="R3d268ae127e842d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##"/>
    <x:numFmt numFmtId="202" formatCode="0.000"/>
  </x:numFmts>
  <x:fonts count="6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7365D"/>
      <x:name val="Carlito"/>
    </x:font>
    <x:font>
      <x:b/>
      <x:sz val="11"/>
      <x:color rgb="FF17365D"/>
      <x:name val="Carlito"/>
    </x:font>
    <x:font>
      <x:b/>
      <x:sz val="14"/>
      <x:color rgb="FF17365D"/>
      <x:name val="Carlito"/>
    </x:font>
    <x:font>
      <x:i/>
      <x:sz val="11"/>
      <x:color rgb="FF666666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EAF0F6"/>
      </x:patternFill>
    </x:fill>
    <x:fill>
      <x:patternFill patternType="solid">
        <x:fgColor rgb="FFFFFFFF"/>
      </x:patternFill>
    </x:fill>
  </x:fills>
  <x:borders count="1">
    <x:border/>
  </x:borders>
  <x:cellStyleXfs count="1">
    <x:xf numFmtId="0" fontId="0" fillId="0" borderId="0"/>
  </x:cellStyleXfs>
  <x:cellXfs count="2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200" fontId="4" fillId="5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5c40439cdd43f3" /><Relationship Type="http://schemas.openxmlformats.org/officeDocument/2006/relationships/theme" Target="/xl/theme/theme1.xml" Id="Rca3bbdce29ac43d0" /><Relationship Type="http://schemas.openxmlformats.org/officeDocument/2006/relationships/sharedStrings" Target="/xl/sharedStrings.xml" Id="R5febd447a47344ca" /><Relationship Type="http://schemas.openxmlformats.org/officeDocument/2006/relationships/worksheet" Target="/xl/worksheets/sheet1.xml" Id="R3d268ae127e842da" /></Relationships>
</file>

<file path=xl/tables/table1.xml><?xml version="1.0" encoding="utf-8"?>
<x:table xmlns:x="http://schemas.openxmlformats.org/spreadsheetml/2006/main" id="1" name="FormalTaskSummary" displayName="FormalTaskSummary" ref="A6:Q25" headerRowCount="1" totalsRowCount="0" totalsRowShown="0">
  <x:autoFilter ref="A6:Q25"/>
  <x:tableColumns count="17">
    <x:tableColumn id="1" name="Task_ID"/>
    <x:tableColumn id="2" name="任务类别"/>
    <x:tableColumn id="3" name="原任务"/>
    <x:tableColumn id="4" name="目标构型"/>
    <x:tableColumn id="5" name="供体类型"/>
    <x:tableColumn id="6" name="候选数"/>
    <x:tableColumn id="7" name="结果类别"/>
    <x:tableColumn id="8" name="Top1溶剂"/>
    <x:tableColumn id="9" name="Top1条件组分"/>
    <x:tableColumn id="10" name="温度(°C)"/>
    <x:tableColumn id="11" name="时间(min)"/>
    <x:tableColumn id="12" name="种子支持"/>
    <x:tableColumn id="13" name="适用域"/>
    <x:tableColumn id="14" name="软兼容分数"/>
    <x:tableColumn id="15" name="目标构型分数"/>
    <x:tableColumn id="16" name="代表反应ID"/>
    <x:tableColumn id="17" name="结论说明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628f199156c4de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0" hidden="0" customWidth="1"/>
    <x:col min="3" max="3" width="10" hidden="0" customWidth="1"/>
    <x:col min="4" max="4" width="10" hidden="0" customWidth="1"/>
    <x:col min="5" max="5" width="23" hidden="0" customWidth="1"/>
    <x:col min="6" max="6" width="10" hidden="0" customWidth="1"/>
    <x:col min="7" max="7" width="15" hidden="0" customWidth="1"/>
    <x:col min="8" max="8" width="25" hidden="0" customWidth="1"/>
    <x:col min="9" max="9" width="32" hidden="0" customWidth="1"/>
    <x:col min="10" max="10" width="11" hidden="0" customWidth="1"/>
    <x:col min="11" max="11" width="11" hidden="0" customWidth="1"/>
    <x:col min="12" max="12" width="13" hidden="0" customWidth="1"/>
    <x:col min="13" max="13" width="12" hidden="0" customWidth="1"/>
    <x:col min="14" max="14" width="13" hidden="0" customWidth="1"/>
    <x:col min="15" max="15" width="14" hidden="0" customWidth="1"/>
    <x:col min="16" max="16" width="27" hidden="0" customWidth="1"/>
    <x:col min="17" max="17" width="50" hidden="0" customWidth="1"/>
  </x:cols>
  <x:sheetData>
    <x:row r="1" ht="30" customHeight="1">
      <x:c r="A1" s="4" t="str">
        <x:v>正式预测任务结果汇总（冻结版 1.3.1）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</x:row>
    <x:row r="2" ht="24" customHeight="1">
      <x:c r="A2" s="8" t="str">
        <x:v>说明：A/B/C是筛选优先级，不是反应成功率；第一层仅判断目标O4的硬结构可行性。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</x:row>
    <x:row r="4">
      <x:c r="A4" s="10" t="str">
        <x:v>任务总数</x:v>
      </x:c>
      <x:c r="B4" s="14" t="n">
        <x:f>COUNTA(A7:A25)</x:f>
        <x:v>19</x:v>
      </x:c>
      <x:c r="C4"/>
      <x:c r="D4" s="10" t="str">
        <x:v>A级</x:v>
      </x:c>
      <x:c r="E4" s="14" t="n">
        <x:f>COUNTIF(G7:G25,"A级")</x:f>
        <x:v>14</x:v>
      </x:c>
      <x:c r="F4"/>
      <x:c r="G4" s="10" t="str">
        <x:v>C级探索</x:v>
      </x:c>
      <x:c r="H4" s="14" t="n">
        <x:f>COUNTIF(G7:G25,"C级探索")</x:f>
        <x:v>2</x:v>
      </x:c>
      <x:c r="I4"/>
      <x:c r="J4" s="10" t="str">
        <x:v>探索性救援</x:v>
      </x:c>
      <x:c r="K4" s="14" t="n">
        <x:f>COUNTIF(G7:G25,"探索性救援")</x:f>
        <x:v>1</x:v>
      </x:c>
      <x:c r="L4"/>
      <x:c r="M4" s="10" t="str">
        <x:v>无可靠推荐</x:v>
      </x:c>
      <x:c r="N4" s="14" t="n">
        <x:f>COUNTIF(G7:G25,"无可靠推荐")</x:f>
        <x:v>2</x:v>
      </x:c>
    </x:row>
    <x:row r="6">
      <x:c r="A6" s="18" t="str">
        <x:v>Task_ID</x:v>
      </x:c>
      <x:c r="B6" s="18" t="str">
        <x:v>任务类别</x:v>
      </x:c>
      <x:c r="C6" s="18" t="str">
        <x:v>原任务</x:v>
      </x:c>
      <x:c r="D6" s="18" t="str">
        <x:v>目标构型</x:v>
      </x:c>
      <x:c r="E6" s="18" t="str">
        <x:v>供体类型</x:v>
      </x:c>
      <x:c r="F6" s="18" t="str">
        <x:v>候选数</x:v>
      </x:c>
      <x:c r="G6" s="18" t="str">
        <x:v>结果类别</x:v>
      </x:c>
      <x:c r="H6" s="18" t="str">
        <x:v>Top1溶剂</x:v>
      </x:c>
      <x:c r="I6" s="18" t="str">
        <x:v>Top1条件组分</x:v>
      </x:c>
      <x:c r="J6" s="18" t="str">
        <x:v>温度(°C)</x:v>
      </x:c>
      <x:c r="K6" s="18" t="str">
        <x:v>时间(min)</x:v>
      </x:c>
      <x:c r="L6" s="18" t="str">
        <x:v>种子支持</x:v>
      </x:c>
      <x:c r="M6" s="18" t="str">
        <x:v>适用域</x:v>
      </x:c>
      <x:c r="N6" s="18" t="str">
        <x:v>软兼容分数</x:v>
      </x:c>
      <x:c r="O6" s="18" t="str">
        <x:v>目标构型分数</x:v>
      </x:c>
      <x:c r="P6" s="18" t="str">
        <x:v>代表反应ID</x:v>
      </x:c>
      <x:c r="Q6" s="18" t="str">
        <x:v>结论说明</x:v>
      </x:c>
    </x:row>
    <x:row r="7" ht="38" customHeight="1">
      <x:c r="A7" s="18" t="str">
        <x:v>C1_T01</x:v>
      </x:c>
      <x:c r="B7" s="18" t="str">
        <x:v>第一类</x:v>
      </x:c>
      <x:c r="C7" s="18" t="str">
        <x:v>任务1</x:v>
      </x:c>
      <x:c r="D7" s="18" t="str">
        <x:v>α</x:v>
      </x:c>
      <x:c r="E7" s="18" t="str">
        <x:v>硫糖苷</x:v>
      </x:c>
      <x:c r="F7" s="19" t="n">
        <x:v>290</x:v>
      </x:c>
      <x:c r="G7" s="18" t="str">
        <x:v>A级</x:v>
      </x:c>
      <x:c r="H7" s="22" t="str">
        <x:v>Dichloromethane</x:v>
      </x:c>
      <x:c r="I7" s="22" t="str">
        <x:v>N-Iodosuccinimide</x:v>
      </x:c>
      <x:c r="J7" s="20" t="n">
        <x:v>25</x:v>
      </x:c>
      <x:c r="K7" s="20" t="n">
        <x:v>25</x:v>
      </x:c>
      <x:c r="L7" s="18" t="str">
        <x:v>3/3</x:v>
      </x:c>
      <x:c r="M7" s="18" t="str">
        <x:v>适用域内</x:v>
      </x:c>
      <x:c r="N7" s="21" t="n">
        <x:v>0.9996406435966492</x:v>
      </x:c>
      <x:c r="O7" s="21" t="n">
        <x:v>0.9930807378453513</x:v>
      </x:c>
      <x:c r="P7" s="18" t="str">
        <x:v>31-013-CAS-20839029</x:v>
      </x:c>
      <x:c r="Q7" s="22" t="str">
        <x:v>3/3一致且在适用域内；仅表示优先筛选，不代表成功率</x:v>
      </x:c>
    </x:row>
    <x:row r="8" ht="38" customHeight="1">
      <x:c r="A8" s="18" t="str">
        <x:v>C1_T02</x:v>
      </x:c>
      <x:c r="B8" s="18" t="str">
        <x:v>第一类</x:v>
      </x:c>
      <x:c r="C8" s="18" t="str">
        <x:v>任务2</x:v>
      </x:c>
      <x:c r="D8" s="18" t="str">
        <x:v>α</x:v>
      </x:c>
      <x:c r="E8" s="18" t="str">
        <x:v>硫糖苷</x:v>
      </x:c>
      <x:c r="F8" s="19" t="n">
        <x:v>290</x:v>
      </x:c>
      <x:c r="G8" s="18" t="str">
        <x:v>A级</x:v>
      </x:c>
      <x:c r="H8" s="22" t="str">
        <x:v>Dichloromethane;Diethyl ether</x:v>
      </x:c>
      <x:c r="I8" s="22" t="str">
        <x:v>Trifluoromethanesulfonic acid</x:v>
      </x:c>
      <x:c r="J8" s="20" t="n">
        <x:v>25</x:v>
      </x:c>
      <x:c r="K8" s="20" t="n">
        <x:v>60</x:v>
      </x:c>
      <x:c r="L8" s="18" t="str">
        <x:v>3/3</x:v>
      </x:c>
      <x:c r="M8" s="18" t="str">
        <x:v>适用域内</x:v>
      </x:c>
      <x:c r="N8" s="21" t="n">
        <x:v>0.9950255155563354</x:v>
      </x:c>
      <x:c r="O8" s="21" t="n">
        <x:v>0.9959251695933442</x:v>
      </x:c>
      <x:c r="P8" s="18" t="str">
        <x:v>31-013-CAS-14723929</x:v>
      </x:c>
      <x:c r="Q8" s="22" t="str">
        <x:v>3/3一致且在适用域内；仅表示优先筛选，不代表成功率</x:v>
      </x:c>
    </x:row>
    <x:row r="9" ht="38" customHeight="1">
      <x:c r="A9" s="18" t="str">
        <x:v>C1_T03</x:v>
      </x:c>
      <x:c r="B9" s="18" t="str">
        <x:v>第一类</x:v>
      </x:c>
      <x:c r="C9" s="18" t="str">
        <x:v>任务3</x:v>
      </x:c>
      <x:c r="D9" s="18" t="str">
        <x:v>β</x:v>
      </x:c>
      <x:c r="E9" s="18" t="str">
        <x:v>硫糖苷</x:v>
      </x:c>
      <x:c r="F9" s="19" t="n">
        <x:v>290</x:v>
      </x:c>
      <x:c r="G9" s="18" t="str">
        <x:v>A级</x:v>
      </x:c>
      <x:c r="H9" s="22" t="str">
        <x:v>Dichloromethane</x:v>
      </x:c>
      <x:c r="I9" s="22" t="str">
        <x:v>Trimethylsilyl triflate</x:v>
      </x:c>
      <x:c r="J9" s="20" t="n">
        <x:v>0</x:v>
      </x:c>
      <x:c r="K9" s="20" t="n">
        <x:v>30</x:v>
      </x:c>
      <x:c r="L9" s="18" t="str">
        <x:v>3/3</x:v>
      </x:c>
      <x:c r="M9" s="18" t="str">
        <x:v>适用域内</x:v>
      </x:c>
      <x:c r="N9" s="21" t="n">
        <x:v>0.9999995231628418</x:v>
      </x:c>
      <x:c r="O9" s="21" t="n">
        <x:v>0.960458278656006</x:v>
      </x:c>
      <x:c r="P9" s="18" t="str">
        <x:v>31-013-CAS-22941545</x:v>
      </x:c>
      <x:c r="Q9" s="22" t="str">
        <x:v>3/3一致且在适用域内；仅表示优先筛选，不代表成功率</x:v>
      </x:c>
    </x:row>
    <x:row r="10" ht="38" customHeight="1">
      <x:c r="A10" s="18" t="str">
        <x:v>C1_T04</x:v>
      </x:c>
      <x:c r="B10" s="18" t="str">
        <x:v>第一类</x:v>
      </x:c>
      <x:c r="C10" s="18" t="str">
        <x:v>任务4</x:v>
      </x:c>
      <x:c r="D10" s="18" t="str">
        <x:v>β</x:v>
      </x:c>
      <x:c r="E10" s="18" t="str">
        <x:v>三氯乙酰亚胺酸酯</x:v>
      </x:c>
      <x:c r="F10" s="19" t="n">
        <x:v>199</x:v>
      </x:c>
      <x:c r="G10" s="18" t="str">
        <x:v>A级</x:v>
      </x:c>
      <x:c r="H10" s="22" t="str">
        <x:v>Dichloromethane</x:v>
      </x:c>
      <x:c r="I10" s="22" t="str">
        <x:v>Trifluoromethanesulfonic acid</x:v>
      </x:c>
      <x:c r="J10" s="20" t="n">
        <x:v>0</x:v>
      </x:c>
      <x:c r="K10" s="20" t="n">
        <x:v>30</x:v>
      </x:c>
      <x:c r="L10" s="18" t="str">
        <x:v>3/3</x:v>
      </x:c>
      <x:c r="M10" s="18" t="str">
        <x:v>适用域内</x:v>
      </x:c>
      <x:c r="N10" s="21" t="n">
        <x:v>0.9799494743347168</x:v>
      </x:c>
      <x:c r="O10" s="21" t="n">
        <x:v>0.9566556612650552</x:v>
      </x:c>
      <x:c r="P10" s="18" t="str">
        <x:v>31-010-CAS-12729167</x:v>
      </x:c>
      <x:c r="Q10" s="22" t="str">
        <x:v>3/3一致且在适用域内；仅表示优先筛选，不代表成功率</x:v>
      </x:c>
    </x:row>
    <x:row r="11" ht="38" customHeight="1">
      <x:c r="A11" s="18" t="str">
        <x:v>C1_T05</x:v>
      </x:c>
      <x:c r="B11" s="18" t="str">
        <x:v>第一类</x:v>
      </x:c>
      <x:c r="C11" s="18" t="str">
        <x:v>任务5</x:v>
      </x:c>
      <x:c r="D11" s="18" t="str">
        <x:v>β</x:v>
      </x:c>
      <x:c r="E11" s="18" t="str">
        <x:v>三氯乙酰亚胺酸酯</x:v>
      </x:c>
      <x:c r="F11" s="19" t="n">
        <x:v>199</x:v>
      </x:c>
      <x:c r="G11" s="18" t="str">
        <x:v>A级</x:v>
      </x:c>
      <x:c r="H11" s="22" t="str">
        <x:v>Dichloromethane</x:v>
      </x:c>
      <x:c r="I11" s="22" t="str">
        <x:v>Trimethylsilyl triflate</x:v>
      </x:c>
      <x:c r="J11" s="20" t="n">
        <x:v>-30</x:v>
      </x:c>
      <x:c r="K11" s="20" t="n">
        <x:v>120</x:v>
      </x:c>
      <x:c r="L11" s="18" t="str">
        <x:v>3/3</x:v>
      </x:c>
      <x:c r="M11" s="18" t="str">
        <x:v>适用域内</x:v>
      </x:c>
      <x:c r="N11" s="21" t="n">
        <x:v>0.998857080936432</x:v>
      </x:c>
      <x:c r="O11" s="21" t="n">
        <x:v>0.9713329672813416</x:v>
      </x:c>
      <x:c r="P11" s="18" t="str">
        <x:v>31-010-CAS-15480737</x:v>
      </x:c>
      <x:c r="Q11" s="22" t="str">
        <x:v>3/3一致且在适用域内；仅表示优先筛选，不代表成功率</x:v>
      </x:c>
    </x:row>
    <x:row r="12" ht="38" customHeight="1">
      <x:c r="A12" s="18" t="str">
        <x:v>C1_T06</x:v>
      </x:c>
      <x:c r="B12" s="18" t="str">
        <x:v>第一类</x:v>
      </x:c>
      <x:c r="C12" s="18" t="str">
        <x:v>任务6</x:v>
      </x:c>
      <x:c r="D12" s="18" t="str">
        <x:v>α</x:v>
      </x:c>
      <x:c r="E12" s="18" t="str">
        <x:v>三氟乙酰亚胺酸酯</x:v>
      </x:c>
      <x:c r="F12" s="19" t="n">
        <x:v>47</x:v>
      </x:c>
      <x:c r="G12" s="18" t="str">
        <x:v>A级</x:v>
      </x:c>
      <x:c r="H12" s="22" t="str">
        <x:v>Dichloromethane;Toluene</x:v>
      </x:c>
      <x:c r="I12" s="22" t="str">
        <x:v>Pyridine</x:v>
      </x:c>
      <x:c r="J12" s="20" t="n">
        <x:v>25</x:v>
      </x:c>
      <x:c r="K12" s="20" t="n">
        <x:v>60</x:v>
      </x:c>
      <x:c r="L12" s="18" t="str">
        <x:v>3/3</x:v>
      </x:c>
      <x:c r="M12" s="18" t="str">
        <x:v>适用域内</x:v>
      </x:c>
      <x:c r="N12" s="21" t="n">
        <x:v>0.9790084958076476</x:v>
      </x:c>
      <x:c r="O12" s="21" t="n">
        <x:v>0.9824838114824767</x:v>
      </x:c>
      <x:c r="P12" s="18" t="str">
        <x:v>31-010-CAS-2969316</x:v>
      </x:c>
      <x:c r="Q12" s="22" t="str">
        <x:v>3/3一致且在适用域内；仅表示优先筛选，不代表成功率</x:v>
      </x:c>
    </x:row>
    <x:row r="13" ht="38" customHeight="1">
      <x:c r="A13" s="18" t="str">
        <x:v>C1_T07</x:v>
      </x:c>
      <x:c r="B13" s="18" t="str">
        <x:v>第一类</x:v>
      </x:c>
      <x:c r="C13" s="18" t="str">
        <x:v>任务7</x:v>
      </x:c>
      <x:c r="D13" s="18" t="str">
        <x:v>β</x:v>
      </x:c>
      <x:c r="E13" s="18" t="str">
        <x:v>硫糖苷</x:v>
      </x:c>
      <x:c r="F13" s="19" t="n">
        <x:v>291</x:v>
      </x:c>
      <x:c r="G13" s="18" t="str">
        <x:v>A级</x:v>
      </x:c>
      <x:c r="H13" s="22" t="str">
        <x:v>Dichloromethane</x:v>
      </x:c>
      <x:c r="I13" s="22" t="str">
        <x:v>N-Iodosuccinimide</x:v>
      </x:c>
      <x:c r="J13" s="20" t="n">
        <x:v>25</x:v>
      </x:c>
      <x:c r="K13" s="20" t="n">
        <x:v>60</x:v>
      </x:c>
      <x:c r="L13" s="18" t="str">
        <x:v>3/3</x:v>
      </x:c>
      <x:c r="M13" s="18" t="str">
        <x:v>适用域内</x:v>
      </x:c>
      <x:c r="N13" s="21" t="n">
        <x:v>0.9297226667404176</x:v>
      </x:c>
      <x:c r="O13" s="21" t="n">
        <x:v>0.9740092555681864</x:v>
      </x:c>
      <x:c r="P13" s="18" t="str">
        <x:v>31-013-CAS-17381406</x:v>
      </x:c>
      <x:c r="Q13" s="22" t="str">
        <x:v>3/3一致且在适用域内；仅表示优先筛选，不代表成功率</x:v>
      </x:c>
    </x:row>
    <x:row r="14" ht="38" customHeight="1">
      <x:c r="A14" s="18" t="str">
        <x:v>C1_T08</x:v>
      </x:c>
      <x:c r="B14" s="18" t="str">
        <x:v>第一类</x:v>
      </x:c>
      <x:c r="C14" s="18" t="str">
        <x:v>任务7</x:v>
      </x:c>
      <x:c r="D14" s="18" t="str">
        <x:v>β</x:v>
      </x:c>
      <x:c r="E14" s="18" t="str">
        <x:v>三氯乙酰亚胺酸酯</x:v>
      </x:c>
      <x:c r="F14" s="19" t="n">
        <x:v>200</x:v>
      </x:c>
      <x:c r="G14" s="18" t="str">
        <x:v>A级</x:v>
      </x:c>
      <x:c r="H14" s="22" t="str">
        <x:v>Dichloromethane</x:v>
      </x:c>
      <x:c r="I14" s="22" t="str">
        <x:v>Triethylamine</x:v>
      </x:c>
      <x:c r="J14" s="20" t="n">
        <x:v>0</x:v>
      </x:c>
      <x:c r="K14" s="20" t="n">
        <x:v>30</x:v>
      </x:c>
      <x:c r="L14" s="18" t="str">
        <x:v>3/3</x:v>
      </x:c>
      <x:c r="M14" s="18" t="str">
        <x:v>适用域内</x:v>
      </x:c>
      <x:c r="N14" s="21" t="n">
        <x:v>0.979345440864563</x:v>
      </x:c>
      <x:c r="O14" s="21" t="n">
        <x:v>0.9680318037668864</x:v>
      </x:c>
      <x:c r="P14" s="18" t="str">
        <x:v>31-010-CAS-8693853</x:v>
      </x:c>
      <x:c r="Q14" s="22" t="str">
        <x:v>3/3一致且在适用域内；仅表示优先筛选，不代表成功率</x:v>
      </x:c>
    </x:row>
    <x:row r="15" ht="38" customHeight="1">
      <x:c r="A15" s="18" t="str">
        <x:v>C2_T01</x:v>
      </x:c>
      <x:c r="B15" s="18" t="str">
        <x:v>第二类</x:v>
      </x:c>
      <x:c r="C15" s="18" t="str">
        <x:v>任务1</x:v>
      </x:c>
      <x:c r="D15" s="18" t="str">
        <x:v>β</x:v>
      </x:c>
      <x:c r="E15" s="18" t="str">
        <x:v>硫糖苷</x:v>
      </x:c>
      <x:c r="F15" s="19" t="n">
        <x:v>290</x:v>
      </x:c>
      <x:c r="G15" s="18" t="str">
        <x:v>C级探索</x:v>
      </x:c>
      <x:c r="H15" s="22" t="str">
        <x:v>Acetonitrile</x:v>
      </x:c>
      <x:c r="I15" s="22" t="str">
        <x:v>Potassium carbonate</x:v>
      </x:c>
      <x:c r="J15" s="20" t="n">
        <x:v>25</x:v>
      </x:c>
      <x:c r="K15" s="20" t="n">
        <x:v>300</x:v>
      </x:c>
      <x:c r="L15" s="18" t="str">
        <x:v>2/3</x:v>
      </x:c>
      <x:c r="M15" s="18" t="str">
        <x:v>适用域内</x:v>
      </x:c>
      <x:c r="N15" s="21" t="n">
        <x:v>0.8976698517799377</x:v>
      </x:c>
      <x:c r="O15" s="21" t="n">
        <x:v>0.6848570505777994</x:v>
      </x:c>
      <x:c r="P15" s="18" t="str">
        <x:v>31-013-CAS-21555454</x:v>
      </x:c>
      <x:c r="Q15" s="22" t="str">
        <x:v>仅2/3支持目标构型；只作探索条件</x:v>
      </x:c>
    </x:row>
    <x:row r="16" ht="38" customHeight="1">
      <x:c r="A16" s="18" t="str">
        <x:v>C2_T02</x:v>
      </x:c>
      <x:c r="B16" s="18" t="str">
        <x:v>第二类</x:v>
      </x:c>
      <x:c r="C16" s="18" t="str">
        <x:v>任务2</x:v>
      </x:c>
      <x:c r="D16" s="18" t="str">
        <x:v>β</x:v>
      </x:c>
      <x:c r="E16" s="18" t="str">
        <x:v>硫糖苷</x:v>
      </x:c>
      <x:c r="F16" s="19" t="n">
        <x:v>290</x:v>
      </x:c>
      <x:c r="G16" s="18" t="str">
        <x:v>无可靠推荐</x:v>
      </x:c>
      <x:c r="H16" s="22" t="str"/>
      <x:c r="I16" s="22" t="str"/>
      <x:c r="J16" s="20"/>
      <x:c r="K16" s="20"/>
      <x:c r="L16" s="18" t="str">
        <x:v>1/3（最高）</x:v>
      </x:c>
      <x:c r="M16" s="18" t="str"/>
      <x:c r="N16" s="21"/>
      <x:c r="O16" s="21"/>
      <x:c r="P16" s="18" t="str"/>
      <x:c r="Q16" s="22" t="str">
        <x:v>最高仅1/3支持目标构型；不推荐</x:v>
      </x:c>
    </x:row>
    <x:row r="17" ht="38" customHeight="1">
      <x:c r="A17" s="18" t="str">
        <x:v>C2_T03</x:v>
      </x:c>
      <x:c r="B17" s="18" t="str">
        <x:v>第二类</x:v>
      </x:c>
      <x:c r="C17" s="18" t="str">
        <x:v>任务3</x:v>
      </x:c>
      <x:c r="D17" s="18" t="str">
        <x:v>α</x:v>
      </x:c>
      <x:c r="E17" s="18" t="str">
        <x:v>硫糖苷</x:v>
      </x:c>
      <x:c r="F17" s="19" t="n">
        <x:v>290</x:v>
      </x:c>
      <x:c r="G17" s="18" t="str">
        <x:v>A级</x:v>
      </x:c>
      <x:c r="H17" s="22" t="str">
        <x:v>Toluene</x:v>
      </x:c>
      <x:c r="I17" s="22" t="str">
        <x:v>N-Iodosuccinimide</x:v>
      </x:c>
      <x:c r="J17" s="20" t="n">
        <x:v>0</x:v>
      </x:c>
      <x:c r="K17" s="20" t="n">
        <x:v>480</x:v>
      </x:c>
      <x:c r="L17" s="18" t="str">
        <x:v>3/3</x:v>
      </x:c>
      <x:c r="M17" s="18" t="str">
        <x:v>适用域内</x:v>
      </x:c>
      <x:c r="N17" s="21" t="n">
        <x:v>0.8978220224380493</x:v>
      </x:c>
      <x:c r="O17" s="21" t="n">
        <x:v>0.5911259402831396</x:v>
      </x:c>
      <x:c r="P17" s="18" t="str">
        <x:v>31-013-CAS-15189017</x:v>
      </x:c>
      <x:c r="Q17" s="22" t="str">
        <x:v>3/3一致且在适用域内；仅表示优先筛选，不代表成功率</x:v>
      </x:c>
    </x:row>
    <x:row r="18" ht="38" customHeight="1">
      <x:c r="A18" s="18" t="str">
        <x:v>C2_T04</x:v>
      </x:c>
      <x:c r="B18" s="18" t="str">
        <x:v>第二类</x:v>
      </x:c>
      <x:c r="C18" s="18" t="str">
        <x:v>任务4</x:v>
      </x:c>
      <x:c r="D18" s="18" t="str">
        <x:v>α</x:v>
      </x:c>
      <x:c r="E18" s="18" t="str">
        <x:v>三氯乙酰亚胺酸酯</x:v>
      </x:c>
      <x:c r="F18" s="19" t="n">
        <x:v>199</x:v>
      </x:c>
      <x:c r="G18" s="18" t="str">
        <x:v>A级</x:v>
      </x:c>
      <x:c r="H18" s="22" t="str">
        <x:v>Dichloromethane</x:v>
      </x:c>
      <x:c r="I18" s="22" t="str">
        <x:v>Sodium bicarbonate</x:v>
      </x:c>
      <x:c r="J18" s="20" t="n">
        <x:v>-15</x:v>
      </x:c>
      <x:c r="K18" s="20" t="n">
        <x:v>20</x:v>
      </x:c>
      <x:c r="L18" s="18" t="str">
        <x:v>3/3</x:v>
      </x:c>
      <x:c r="M18" s="18" t="str">
        <x:v>适用域内</x:v>
      </x:c>
      <x:c r="N18" s="21" t="n">
        <x:v>0.9658160209655762</x:v>
      </x:c>
      <x:c r="O18" s="21" t="n">
        <x:v>0.8822983851035436</x:v>
      </x:c>
      <x:c r="P18" s="18" t="str">
        <x:v>31-010-CAS-13818677</x:v>
      </x:c>
      <x:c r="Q18" s="22" t="str">
        <x:v>3/3一致且在适用域内；仅表示优先筛选，不代表成功率</x:v>
      </x:c>
    </x:row>
    <x:row r="19" ht="38" customHeight="1">
      <x:c r="A19" s="18" t="str">
        <x:v>C2_T05</x:v>
      </x:c>
      <x:c r="B19" s="18" t="str">
        <x:v>第二类</x:v>
      </x:c>
      <x:c r="C19" s="18" t="str">
        <x:v>任务5</x:v>
      </x:c>
      <x:c r="D19" s="18" t="str">
        <x:v>α</x:v>
      </x:c>
      <x:c r="E19" s="18" t="str">
        <x:v>三氯乙酰亚胺酸酯</x:v>
      </x:c>
      <x:c r="F19" s="19" t="n">
        <x:v>199</x:v>
      </x:c>
      <x:c r="G19" s="18" t="str">
        <x:v>无可靠推荐</x:v>
      </x:c>
      <x:c r="H19" s="22" t="str"/>
      <x:c r="I19" s="22" t="str"/>
      <x:c r="J19" s="20"/>
      <x:c r="K19" s="20"/>
      <x:c r="L19" s="18" t="str">
        <x:v>1/3（最高）</x:v>
      </x:c>
      <x:c r="M19" s="18" t="str"/>
      <x:c r="N19" s="21"/>
      <x:c r="O19" s="21"/>
      <x:c r="P19" s="18" t="str"/>
      <x:c r="Q19" s="22" t="str">
        <x:v>最高仅1/3支持目标构型；不推荐</x:v>
      </x:c>
    </x:row>
    <x:row r="20" ht="38" customHeight="1">
      <x:c r="A20" s="18" t="str">
        <x:v>C2_T06</x:v>
      </x:c>
      <x:c r="B20" s="18" t="str">
        <x:v>第二类</x:v>
      </x:c>
      <x:c r="C20" s="18" t="str">
        <x:v>任务6</x:v>
      </x:c>
      <x:c r="D20" s="18" t="str">
        <x:v>β</x:v>
      </x:c>
      <x:c r="E20" s="18" t="str">
        <x:v>三氟乙酰亚胺酸酯</x:v>
      </x:c>
      <x:c r="F20" s="19" t="n">
        <x:v>47</x:v>
      </x:c>
      <x:c r="G20" s="18" t="str">
        <x:v>A级</x:v>
      </x:c>
      <x:c r="H20" s="22" t="str">
        <x:v>Dichloromethane</x:v>
      </x:c>
      <x:c r="I20" s="22" t="str">
        <x:v>Trimethylsilyl triflate</x:v>
      </x:c>
      <x:c r="J20" s="20" t="n">
        <x:v>0</x:v>
      </x:c>
      <x:c r="K20" s="20" t="n">
        <x:v>60</x:v>
      </x:c>
      <x:c r="L20" s="18" t="str">
        <x:v>3/3</x:v>
      </x:c>
      <x:c r="M20" s="18" t="str">
        <x:v>适用域内</x:v>
      </x:c>
      <x:c r="N20" s="21" t="n">
        <x:v>0.9668477177619934</x:v>
      </x:c>
      <x:c r="O20" s="21" t="n">
        <x:v>0.9152001539866128</x:v>
      </x:c>
      <x:c r="P20" s="18" t="str">
        <x:v>31-013-CAS-11093804</x:v>
      </x:c>
      <x:c r="Q20" s="22" t="str">
        <x:v>3/3一致且在适用域内；仅表示优先筛选，不代表成功率</x:v>
      </x:c>
    </x:row>
    <x:row r="21" ht="38" customHeight="1">
      <x:c r="A21" s="18" t="str">
        <x:v>C2_T07</x:v>
      </x:c>
      <x:c r="B21" s="18" t="str">
        <x:v>第二类</x:v>
      </x:c>
      <x:c r="C21" s="18" t="str">
        <x:v>任务7</x:v>
      </x:c>
      <x:c r="D21" s="18" t="str">
        <x:v>α</x:v>
      </x:c>
      <x:c r="E21" s="18" t="str">
        <x:v>硫糖苷</x:v>
      </x:c>
      <x:c r="F21" s="19" t="n">
        <x:v>291</x:v>
      </x:c>
      <x:c r="G21" s="18" t="str">
        <x:v>C级探索</x:v>
      </x:c>
      <x:c r="H21" s="22" t="str">
        <x:v>Dichloromethane</x:v>
      </x:c>
      <x:c r="I21" s="22" t="str">
        <x:v>Sodium bicarbonate</x:v>
      </x:c>
      <x:c r="J21" s="20" t="n">
        <x:v>-78</x:v>
      </x:c>
      <x:c r="K21" s="20" t="n">
        <x:v>5</x:v>
      </x:c>
      <x:c r="L21" s="18" t="str">
        <x:v>2/3</x:v>
      </x:c>
      <x:c r="M21" s="18" t="str">
        <x:v>适用域内</x:v>
      </x:c>
      <x:c r="N21" s="21" t="n">
        <x:v>0.8550058603286743</x:v>
      </x:c>
      <x:c r="O21" s="21" t="n">
        <x:v>0.17877970139185584</x:v>
      </x:c>
      <x:c r="P21" s="18" t="str">
        <x:v>31-013-CAS-1252855</x:v>
      </x:c>
      <x:c r="Q21" s="22" t="str">
        <x:v>仅2/3支持目标构型；只作探索条件</x:v>
      </x:c>
    </x:row>
    <x:row r="22" ht="38" customHeight="1">
      <x:c r="A22" s="18" t="str">
        <x:v>C2_T08</x:v>
      </x:c>
      <x:c r="B22" s="18" t="str">
        <x:v>第二类</x:v>
      </x:c>
      <x:c r="C22" s="18" t="str">
        <x:v>任务7</x:v>
      </x:c>
      <x:c r="D22" s="18" t="str">
        <x:v>α</x:v>
      </x:c>
      <x:c r="E22" s="18" t="str">
        <x:v>三氯乙酰亚胺酸酯</x:v>
      </x:c>
      <x:c r="F22" s="19" t="n">
        <x:v>200</x:v>
      </x:c>
      <x:c r="G22" s="18" t="str">
        <x:v>A级</x:v>
      </x:c>
      <x:c r="H22" s="22" t="str">
        <x:v>Dichloromethane</x:v>
      </x:c>
      <x:c r="I22" s="22" t="str">
        <x:v>Nitrosonium tetrafluoroborate</x:v>
      </x:c>
      <x:c r="J22" s="20" t="n">
        <x:v>-10</x:v>
      </x:c>
      <x:c r="K22" s="20" t="n">
        <x:v>45</x:v>
      </x:c>
      <x:c r="L22" s="18" t="str">
        <x:v>3/3</x:v>
      </x:c>
      <x:c r="M22" s="18" t="str">
        <x:v>适用域内</x:v>
      </x:c>
      <x:c r="N22" s="21" t="n">
        <x:v>0.9446451663970948</x:v>
      </x:c>
      <x:c r="O22" s="21" t="n">
        <x:v>0.6197460691134136</x:v>
      </x:c>
      <x:c r="P22" s="18" t="str">
        <x:v>31-010-CAS-5727917</x:v>
      </x:c>
      <x:c r="Q22" s="22" t="str">
        <x:v>3/3一致且在适用域内；仅表示优先筛选，不代表成功率</x:v>
      </x:c>
    </x:row>
    <x:row r="23" ht="38" customHeight="1">
      <x:c r="A23" s="18" t="str">
        <x:v>C2_T09</x:v>
      </x:c>
      <x:c r="B23" s="18" t="str">
        <x:v>第二类</x:v>
      </x:c>
      <x:c r="C23" s="18" t="str">
        <x:v>任务8</x:v>
      </x:c>
      <x:c r="D23" s="18" t="str">
        <x:v>α</x:v>
      </x:c>
      <x:c r="E23" s="18" t="str">
        <x:v>硫糖苷</x:v>
      </x:c>
      <x:c r="F23" s="19" t="n">
        <x:v>291</x:v>
      </x:c>
      <x:c r="G23" s="18" t="str">
        <x:v>A级</x:v>
      </x:c>
      <x:c r="H23" s="22" t="str">
        <x:v>Toluene</x:v>
      </x:c>
      <x:c r="I23" s="22" t="str">
        <x:v>N-Iodosuccinimide</x:v>
      </x:c>
      <x:c r="J23" s="20" t="n">
        <x:v>0</x:v>
      </x:c>
      <x:c r="K23" s="20" t="n">
        <x:v>30</x:v>
      </x:c>
      <x:c r="L23" s="18" t="str">
        <x:v>3/3</x:v>
      </x:c>
      <x:c r="M23" s="18" t="str">
        <x:v>适用域内</x:v>
      </x:c>
      <x:c r="N23" s="21" t="n">
        <x:v>0.8421611189842224</x:v>
      </x:c>
      <x:c r="O23" s="21" t="n">
        <x:v>0.8922238337496917</x:v>
      </x:c>
      <x:c r="P23" s="18" t="str">
        <x:v>31-013-CAS-22664054</x:v>
      </x:c>
      <x:c r="Q23" s="22" t="str">
        <x:v>3/3一致且在适用域内；仅表示优先筛选，不代表成功率</x:v>
      </x:c>
    </x:row>
    <x:row r="24" ht="38" customHeight="1">
      <x:c r="A24" s="18" t="str">
        <x:v>C2_T10</x:v>
      </x:c>
      <x:c r="B24" s="18" t="str">
        <x:v>第二类</x:v>
      </x:c>
      <x:c r="C24" s="18" t="str">
        <x:v>任务9</x:v>
      </x:c>
      <x:c r="D24" s="18" t="str">
        <x:v>β</x:v>
      </x:c>
      <x:c r="E24" s="18" t="str">
        <x:v>三氟乙酰亚胺酸酯</x:v>
      </x:c>
      <x:c r="F24" s="19" t="n">
        <x:v>48</x:v>
      </x:c>
      <x:c r="G24" s="18" t="str">
        <x:v>A级</x:v>
      </x:c>
      <x:c r="H24" s="22" t="str">
        <x:v>Dichloromethane</x:v>
      </x:c>
      <x:c r="I24" s="22" t="str">
        <x:v>Triethylamine</x:v>
      </x:c>
      <x:c r="J24" s="20" t="n">
        <x:v>-90</x:v>
      </x:c>
      <x:c r="K24" s="20" t="n">
        <x:v>180</x:v>
      </x:c>
      <x:c r="L24" s="18" t="str">
        <x:v>3/3</x:v>
      </x:c>
      <x:c r="M24" s="18" t="str">
        <x:v>适用域内</x:v>
      </x:c>
      <x:c r="N24" s="21" t="n">
        <x:v>0.7859291434288025</x:v>
      </x:c>
      <x:c r="O24" s="21" t="n">
        <x:v>0.8749968210856119</x:v>
      </x:c>
      <x:c r="P24" s="18" t="str">
        <x:v>31-010-CAS-12184227</x:v>
      </x:c>
      <x:c r="Q24" s="22" t="str">
        <x:v>3/3一致且在适用域内；仅表示优先筛选，不代表成功率</x:v>
      </x:c>
    </x:row>
    <x:row r="25" ht="38" customHeight="1">
      <x:c r="A25" s="18" t="str">
        <x:v>C3_T01</x:v>
      </x:c>
      <x:c r="B25" s="18" t="str">
        <x:v>第三类</x:v>
      </x:c>
      <x:c r="C25" s="18" t="str">
        <x:v>任务1</x:v>
      </x:c>
      <x:c r="D25" s="18" t="str">
        <x:v>不限</x:v>
      </x:c>
      <x:c r="E25" s="18" t="str">
        <x:v>三氟乙酰亚胺酸酯</x:v>
      </x:c>
      <x:c r="F25" s="19" t="n">
        <x:v>48</x:v>
      </x:c>
      <x:c r="G25" s="18" t="str">
        <x:v>探索性救援</x:v>
      </x:c>
      <x:c r="H25" s="22" t="str">
        <x:v>Dichloromethane</x:v>
      </x:c>
      <x:c r="I25" s="22" t="str">
        <x:v>Trimethylsilyl triflate</x:v>
      </x:c>
      <x:c r="J25" s="20" t="n">
        <x:v>25</x:v>
      </x:c>
      <x:c r="K25" s="20" t="n">
        <x:v>30</x:v>
      </x:c>
      <x:c r="L25" s="18" t="str">
        <x:v>不适用</x:v>
      </x:c>
      <x:c r="M25" s="18" t="str">
        <x:v>适用域内</x:v>
      </x:c>
      <x:c r="N25" s="21" t="n">
        <x:v>0.927127242088318</x:v>
      </x:c>
      <x:c r="O25" s="21"/>
      <x:c r="P25" s="18" t="str">
        <x:v>31-614-CAS-38242450</x:v>
      </x:c>
      <x:c r="Q25" s="22" t="str">
        <x:v>超出成功率模型能力；不保证发生反应</x:v>
      </x:c>
    </x:row>
    <x:row r="27">
      <x:c r="A27" s="24" t="str">
        <x:v>数据来源：formal_tasks_v1.csv、top8_conditions.csv、all_candidates_ranked.csv；模型未重新训练。</x:v>
      </x:c>
      <x:c r="B27" s="24"/>
      <x:c r="C27" s="24"/>
      <x:c r="D27" s="24"/>
      <x:c r="E27" s="24"/>
      <x:c r="F27" s="24"/>
      <x:c r="G27" s="24"/>
      <x:c r="H27" s="24"/>
      <x:c r="I27" s="24"/>
      <x:c r="J27" s="24"/>
      <x:c r="K27" s="24"/>
      <x:c r="L27" s="24"/>
      <x:c r="M27" s="24"/>
      <x:c r="N27" s="24"/>
      <x:c r="O27" s="24"/>
      <x:c r="P27" s="24"/>
      <x:c r="Q27" s="24"/>
    </x:row>
  </x:sheetData>
  <x:mergeCells>
    <x:mergeCell ref="A1:Q1"/>
    <x:mergeCell ref="A2:Q2"/>
    <x:mergeCell ref="A27:Q27"/>
  </x:mergeCells>
  <x:conditionalFormatting sqref="G7:G25">
    <x:cfRule type="containsText" dxfId="0" priority="1" operator="containsText" text="A级"/>
    <x:cfRule type="containsText" dxfId="1" priority="2" operator="containsText" text="C级探索"/>
    <x:cfRule type="containsText" dxfId="2" priority="3" operator="containsText" text="探索性救援"/>
    <x:cfRule type="containsText" dxfId="3" priority="4" operator="containsText" text="无可靠推荐"/>
  </x:conditionalFormatting>
  <x:pageMargins left="0.7" right="0.7" top="0.75" bottom="0.75" header="0.3" footer="0.3"/>
  <x:tableParts count="1">
    <x:tablePart xmlns:r="http://schemas.openxmlformats.org/officeDocument/2006/relationships" r:id="R7628f199156c4deb"/>
  </x:tableParts>
</x:worksheet>
</file>